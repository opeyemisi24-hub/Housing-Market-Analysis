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B5EE8D16-ACFE-458A-B769-BFC5C96D6E32}" xr6:coauthVersionLast="47" xr6:coauthVersionMax="47" xr10:uidLastSave="{00000000-0000-0000-0000-000000000000}"/>
  <bookViews>
    <workbookView xWindow="-110" yWindow="-110" windowWidth="19420" windowHeight="10300" activeTab="1" xr2:uid="{BDEFD27D-B75A-4825-8424-94F24889FC6C}"/>
  </bookViews>
  <sheets>
    <sheet name="PivotTable" sheetId="1" r:id="rId1"/>
    <sheet name="Dashboard" sheetId="3" r:id="rId2"/>
    <sheet name="Sheet1" sheetId="4" r:id="rId3"/>
  </sheets>
  <definedNames>
    <definedName name="Slicer_Basement_Status">#N/A</definedName>
    <definedName name="Slicer_condition">#N/A</definedName>
    <definedName name="Slicer_view">#N/A</definedName>
  </definedNames>
  <calcPr calcId="18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using_f6992a43-fb42-44f9-b9b0-08f036a01757" name="Housing" connection="Query - Housing"/>
        </x15:modelTables>
      </x15:dataModel>
    </ext>
  </extLst>
</workbook>
</file>

<file path=xl/calcChain.xml><?xml version="1.0" encoding="utf-8"?>
<calcChain xmlns="http://schemas.openxmlformats.org/spreadsheetml/2006/main">
  <c r="B3" i="4" l="1"/>
  <c r="B2" i="4"/>
  <c r="B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A5EFFF-C53F-401F-8481-019B3678B30A}" name="Query - Housing" description="Connection to the 'Housing' query in the workbook." type="100" refreshedVersion="8" minRefreshableVersion="5">
    <extLst>
      <ext xmlns:x15="http://schemas.microsoft.com/office/spreadsheetml/2010/11/main" uri="{DE250136-89BD-433C-8126-D09CA5730AF9}">
        <x15:connection id="5452c847-1813-4682-9175-50d5b3eaae5c"/>
      </ext>
    </extLst>
  </connection>
  <connection id="2" xr16:uid="{BF3966DE-2DE7-443A-B709-44C710BDAE5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<sst xmlns="http://schemas.openxmlformats.org/spreadsheetml/2006/main" count="79" uniqueCount="48">
  <si>
    <t>Row Labels</t>
  </si>
  <si>
    <t>Beaux Arts Village</t>
  </si>
  <si>
    <t>Bellevue</t>
  </si>
  <si>
    <t>Clyde Hill</t>
  </si>
  <si>
    <t>Fall City</t>
  </si>
  <si>
    <t>Kirkland</t>
  </si>
  <si>
    <t>Medina</t>
  </si>
  <si>
    <t>Mercer Island</t>
  </si>
  <si>
    <t>Newcastle</t>
  </si>
  <si>
    <t>Seattle</t>
  </si>
  <si>
    <t>Yarrow Point</t>
  </si>
  <si>
    <t>Grand Total</t>
  </si>
  <si>
    <t>Average Price</t>
  </si>
  <si>
    <t>0 - 499</t>
  </si>
  <si>
    <t>1000 - 1499</t>
  </si>
  <si>
    <t>1500 - 1999</t>
  </si>
  <si>
    <t>2000 - 2499</t>
  </si>
  <si>
    <t>2500 -2999</t>
  </si>
  <si>
    <t>3000 - 3499</t>
  </si>
  <si>
    <t>3500 - 3999</t>
  </si>
  <si>
    <t>4000</t>
  </si>
  <si>
    <t>500 - 999</t>
  </si>
  <si>
    <t>Average Price Per Sqft</t>
  </si>
  <si>
    <t>Has Waterfront</t>
  </si>
  <si>
    <t>No Waterfront</t>
  </si>
  <si>
    <t>No Renovation</t>
  </si>
  <si>
    <t>Renovated</t>
  </si>
  <si>
    <t>Has Basement</t>
  </si>
  <si>
    <t>No Basement</t>
  </si>
  <si>
    <t>Number of Properties</t>
  </si>
  <si>
    <t>Total Property Value</t>
  </si>
  <si>
    <t>Median Price</t>
  </si>
  <si>
    <t>HOUSING MARKET ANALYSIS DASHBOARD</t>
  </si>
  <si>
    <t>Exploring Property Prices, Features &amp; Location Trends</t>
  </si>
  <si>
    <t>Sammamish</t>
  </si>
  <si>
    <t>Redmond</t>
  </si>
  <si>
    <t>Inglewood-Finn Hill</t>
  </si>
  <si>
    <t>0 - 9 years</t>
  </si>
  <si>
    <t>10 - 19 years</t>
  </si>
  <si>
    <t>20 - 29 years</t>
  </si>
  <si>
    <t>30 - 39 years</t>
  </si>
  <si>
    <t>40 - 49 years</t>
  </si>
  <si>
    <t>50 - 59 years</t>
  </si>
  <si>
    <t>60+ years</t>
  </si>
  <si>
    <t>City</t>
  </si>
  <si>
    <t>Living Area Band</t>
  </si>
  <si>
    <t>Property Age Band</t>
  </si>
  <si>
    <t>Bathrooms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</si>
</sst>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6" x14ac:knownFonts="1">
    <font>
      <sz val="11"/>
      <color theme="1"/>
      <name val="Calibri"/>
      <family val="2"/>
      <scheme val="minor"/>
    </font>
    <font>
      <sz val="12"/>
      <color theme="1"/>
      <name val="Times New Roman"/>
      <family val="1"/>
    </font>
    <font>
      <sz val="28"/>
      <color theme="1" tint="4.9989318521683403E-2"/>
      <name val="Times New Roman"/>
      <family val="1"/>
    </font>
    <font>
      <b/>
      <sz val="28"/>
      <color rgb="FF163A5F"/>
      <name val="Times New Roman"/>
      <family val="1"/>
    </font>
    <font>
      <i/>
      <sz val="18"/>
      <color rgb="FF5B6B7A"/>
      <name val="Times New Roman"/>
      <family val="1"/>
    </font>
    <font>
      <sz val="18"/>
      <color rgb="FF5B6B7A"/>
      <name val="Times New Roman"/>
      <family val="1"/>
    </font>
  </fonts>
  <fills count="3">
    <fill>
      <patternFill patternType="none"/>
    </fill>
    <fill>
      <patternFill patternType="gray125"/>
    </fill>
    <fill>
      <patternFill patternType="solid">
        <fgColor rgb="FFF5F7FA"/>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2" borderId="0" xfId="0" applyFont="1" applyFill="1"/>
    <xf numFmtId="0" fontId="3" fillId="2" borderId="0" xfId="0" applyFont="1" applyFill="1" applyAlignment="1">
      <alignment horizontal="center"/>
    </xf>
    <xf numFmtId="0" fontId="2"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3">
    <dxf>
      <fill>
        <patternFill>
          <bgColor rgb="FF17365D"/>
        </patternFill>
      </fill>
    </dxf>
    <dxf>
      <fill>
        <patternFill>
          <bgColor rgb="FF17365D"/>
        </patternFill>
      </fill>
    </dxf>
    <dxf>
      <font>
        <b/>
        <i val="0"/>
        <sz val="12"/>
        <color rgb="FF17365D"/>
        <name val="Times New Roman"/>
        <family val="1"/>
        <scheme val="none"/>
      </font>
      <fill>
        <patternFill>
          <bgColor rgb="FFD9EAF7"/>
        </patternFill>
      </fill>
    </dxf>
  </dxfs>
  <tableStyles count="3" defaultTableStyle="TableStyleMedium2" defaultPivotStyle="PivotStyleLight16">
    <tableStyle name="Housing Dashboard Slicer" pivot="0" table="0" count="3" xr9:uid="{02F19B8F-2036-417B-B931-DC8B47D42776}">
      <tableStyleElement type="headerRow" dxfId="2"/>
    </tableStyle>
    <tableStyle name="Slicer Style 1" pivot="0" table="0" count="3" xr9:uid="{0FD51EF9-9B7B-4466-BEA9-5F454BAD70CB}">
      <tableStyleElement type="headerRow" dxfId="1"/>
    </tableStyle>
    <tableStyle name="Slicer Style 2" pivot="0" table="0" count="3" xr9:uid="{01AE97F2-3E37-487B-A900-AF92AF70A512}">
      <tableStyleElement type="headerRow" dxfId="0"/>
    </tableStyle>
  </tableStyles>
  <colors>
    <mruColors>
      <color rgb="FF2F75B5"/>
      <color rgb="FF404040"/>
      <color rgb="FF17365D"/>
      <color rgb="FFD9EAF7"/>
      <color rgb="FF173658"/>
      <color rgb="FFFFFFFF"/>
      <color rgb="FF5B6573"/>
      <color rgb="FF163A5F"/>
      <color rgb="FF163A57"/>
      <color rgb="FFEAF2F8"/>
    </mruColors>
  </colors>
  <extLst>
    <ext xmlns:x14="http://schemas.microsoft.com/office/spreadsheetml/2009/9/main" uri="{46F421CA-312F-682f-3DD2-61675219B42D}">
      <x14:dxfs count="6">
        <dxf>
          <fill>
            <patternFill>
              <bgColor rgb="FF2F75B5"/>
            </patternFill>
          </fill>
        </dxf>
        <dxf>
          <fill>
            <patternFill>
              <bgColor theme="0"/>
            </patternFill>
          </fill>
        </dxf>
        <dxf>
          <fill>
            <patternFill>
              <bgColor rgb="FF2F75B5"/>
            </patternFill>
          </fill>
        </dxf>
        <dxf>
          <fill>
            <patternFill>
              <bgColor theme="0"/>
            </patternFill>
          </fill>
        </dxf>
        <dxf>
          <font>
            <b val="0"/>
            <i val="0"/>
            <sz val="12"/>
            <color theme="0"/>
            <name val="Times New Roman"/>
            <family val="1"/>
            <scheme val="none"/>
          </font>
          <fill>
            <patternFill>
              <bgColor rgb="FF2F75B5"/>
            </patternFill>
          </fill>
        </dxf>
        <dxf>
          <font>
            <b val="0"/>
            <i val="0"/>
            <sz val="12"/>
            <color rgb="FF404040"/>
            <name val="Times New Roman"/>
            <family val="1"/>
            <scheme val="none"/>
          </font>
          <fill>
            <patternFill>
              <bgColor theme="0"/>
            </patternFill>
          </fill>
        </dxf>
      </x14:dxfs>
    </ext>
    <ext xmlns:x14="http://schemas.microsoft.com/office/spreadsheetml/2009/9/main" uri="{EB79DEF2-80B8-43e5-95BD-54CBDDF9020C}">
      <x14:slicerStyles defaultSlicerStyle="Housing Dashboard Slicer">
        <x14:slicerStyle name="Housing Dashboard Slicer">
          <x14:slicerStyleElements>
            <x14:slicerStyleElement type="unselectedItemWithData" dxfId="5"/>
            <x14:slicerStyleElement type="selectedItemWithData" dxfId="4"/>
          </x14:slicerStyleElements>
        </x14:slicerStyle>
        <x14:slicerStyle name="Slicer Style 1">
          <x14:slicerStyleElements>
            <x14:slicerStyleElement type="unselectedItemWithData" dxfId="3"/>
            <x14:slicerStyleElement type="selectedItemWith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5.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[Housing Market Analysis.xlsx]PivotTable!PivotTable1</c:name>
    <c:fmtId val="6"/>
  </c:pivotSource>
  <c:chart>
    <c:title>
      <c:tx>
        <c:rich>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r>
              <a:rPr lang="en-US" sz="1600" b="1" i="1">
                <a:solidFill>
                  <a:srgbClr val="17365D"/>
                </a:solidFill>
                <a:latin typeface="Times New Roman" panose="02020603050405020304" pitchFamily="18" charset="0"/>
                <a:cs typeface="Times New Roman" panose="02020603050405020304" pitchFamily="18" charset="0"/>
              </a:rPr>
              <a:t>Top 10 Cities</a:t>
            </a:r>
            <a:r>
              <a:rPr lang="en-US" sz="1600" b="1" i="1" baseline="0">
                <a:solidFill>
                  <a:srgbClr val="17365D"/>
                </a:solidFill>
                <a:latin typeface="Times New Roman" panose="02020603050405020304" pitchFamily="18" charset="0"/>
                <a:cs typeface="Times New Roman" panose="02020603050405020304" pitchFamily="18" charset="0"/>
              </a:rPr>
              <a:t> by Average House Price</a:t>
            </a:r>
            <a:endParaRPr lang="en-US" sz="1600" b="1" i="1">
              <a:solidFill>
                <a:srgbClr val="17365D"/>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75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404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c:f>
              <c:strCache>
                <c:ptCount val="1"/>
                <c:pt idx="0">
                  <c:v>Total</c:v>
                </c:pt>
              </c:strCache>
            </c:strRef>
          </c:tx>
          <c:spPr>
            <a:solidFill>
              <a:srgbClr val="2F75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404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PivotTable!$A$2:$A$12</c:f>
              <c:strCache>
                <c:ptCount val="10"/>
                <c:pt idx="0">
                  <c:v>Medina</c:v>
                </c:pt>
                <c:pt idx="1">
                  <c:v>Clyde Hill</c:v>
                </c:pt>
                <c:pt idx="2">
                  <c:v>Yarrow Point</c:v>
                </c:pt>
                <c:pt idx="3">
                  <c:v>Mercer Island</c:v>
                </c:pt>
                <c:pt idx="4">
                  <c:v>Bellevue</c:v>
                </c:pt>
                <c:pt idx="5">
                  <c:v>Beaux Arts Village</c:v>
                </c:pt>
                <c:pt idx="6">
                  <c:v>Sammamish</c:v>
                </c:pt>
                <c:pt idx="7">
                  <c:v>Fall City</c:v>
                </c:pt>
                <c:pt idx="8">
                  <c:v>Redmond</c:v>
                </c:pt>
                <c:pt idx="9">
                  <c:v>Newcastle</c:v>
                </c:pt>
              </c:strCache>
            </c:strRef>
          </c:cat>
          <c:val>
            <c:numRef>
              <c:f>PivotTable!$B$2:$B$12</c:f>
              <c:numCache>
                <c:formatCode>\$#,##0;\(\$#,##0\);\$#,##0</c:formatCode>
                <c:ptCount val="10"/>
                <c:pt idx="0">
                  <c:v>2046559.0909090908</c:v>
                </c:pt>
                <c:pt idx="1">
                  <c:v>1615711.111111111</c:v>
                </c:pt>
                <c:pt idx="2">
                  <c:v>1194837.5</c:v>
                </c:pt>
                <c:pt idx="3">
                  <c:v>1178637.987804878</c:v>
                </c:pt>
                <c:pt idx="4">
                  <c:v>862255.049822064</c:v>
                </c:pt>
                <c:pt idx="5">
                  <c:v>745000</c:v>
                </c:pt>
                <c:pt idx="6">
                  <c:v>702985.83040935674</c:v>
                </c:pt>
                <c:pt idx="7">
                  <c:v>692681.81818181823</c:v>
                </c:pt>
                <c:pt idx="8">
                  <c:v>667649.54042553192</c:v>
                </c:pt>
                <c:pt idx="9">
                  <c:v>666046.69696969702</c:v>
                </c:pt>
              </c:numCache>
            </c:numRef>
          </c:val>
          <c:extLst>
            <c:ext xmlns:c16="http://schemas.microsoft.com/office/drawing/2014/chart" uri="{C3380CC4-5D6E-409C-BE32-E72D297353CC}">
              <c16:uniqueId val="{00000000-7F72-403E-9BE2-17FB9101A9E6}"/>
            </c:ext>
          </c:extLst>
        </c:ser>
        <c:dLbls>
          <c:dLblPos val="outEnd"/>
          <c:showLegendKey val="0"/>
          <c:showVal val="1"/>
          <c:showCatName val="0"/>
          <c:showSerName val="0"/>
          <c:showPercent val="0"/>
          <c:showBubbleSize val="0"/>
        </c:dLbls>
        <c:gapWidth val="182"/>
        <c:axId val="145372976"/>
        <c:axId val="145382096"/>
      </c:barChart>
      <c:catAx>
        <c:axId val="14537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B6573"/>
                </a:solidFill>
                <a:latin typeface="Times New Roman" panose="02020603050405020304" pitchFamily="18" charset="0"/>
                <a:ea typeface="+mn-ea"/>
                <a:cs typeface="Times New Roman" panose="02020603050405020304" pitchFamily="18" charset="0"/>
              </a:defRPr>
            </a:pPr>
            <a:endParaRPr lang="en-US"/>
          </a:p>
        </c:txPr>
        <c:crossAx val="145382096"/>
        <c:crosses val="autoZero"/>
        <c:auto val="1"/>
        <c:lblAlgn val="ctr"/>
        <c:lblOffset val="100"/>
        <c:noMultiLvlLbl val="0"/>
      </c:catAx>
      <c:valAx>
        <c:axId val="1453820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B6573"/>
                </a:solidFill>
                <a:latin typeface="Times New Roman" panose="02020603050405020304" pitchFamily="18" charset="0"/>
                <a:ea typeface="+mn-ea"/>
                <a:cs typeface="Times New Roman" panose="02020603050405020304" pitchFamily="18" charset="0"/>
              </a:defRPr>
            </a:pPr>
            <a:endParaRPr lang="en-US"/>
          </a:p>
        </c:txPr>
        <c:crossAx val="14537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[Housing Market Analysis.xlsx]PivotTable!PivotTable3</c:name>
    <c:fmtId val="6"/>
  </c:pivotSource>
  <c:chart>
    <c:title>
      <c:tx>
        <c:rich>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r>
              <a:rPr lang="en-US" sz="1600" b="1" i="1">
                <a:solidFill>
                  <a:srgbClr val="17365D"/>
                </a:solidFill>
                <a:latin typeface="Times New Roman" panose="02020603050405020304" pitchFamily="18" charset="0"/>
                <a:cs typeface="Times New Roman" panose="02020603050405020304" pitchFamily="18" charset="0"/>
              </a:rPr>
              <a:t>Average</a:t>
            </a:r>
            <a:r>
              <a:rPr lang="en-US" sz="1600" b="1" i="1" baseline="0">
                <a:solidFill>
                  <a:srgbClr val="17365D"/>
                </a:solidFill>
                <a:latin typeface="Times New Roman" panose="02020603050405020304" pitchFamily="18" charset="0"/>
                <a:cs typeface="Times New Roman" panose="02020603050405020304" pitchFamily="18" charset="0"/>
              </a:rPr>
              <a:t> Price by Living Area</a:t>
            </a:r>
            <a:endParaRPr lang="en-US" sz="1600" b="1" i="1">
              <a:solidFill>
                <a:srgbClr val="17365D"/>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75B5"/>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404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c:f>
              <c:strCache>
                <c:ptCount val="1"/>
                <c:pt idx="0">
                  <c:v>Total</c:v>
                </c:pt>
              </c:strCache>
            </c:strRef>
          </c:tx>
          <c:spPr>
            <a:solidFill>
              <a:srgbClr val="2F75B5"/>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404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PivotTable!$D$2:$D$11</c:f>
              <c:strCache>
                <c:ptCount val="9"/>
                <c:pt idx="0">
                  <c:v>4000</c:v>
                </c:pt>
                <c:pt idx="1">
                  <c:v>3500 - 3999</c:v>
                </c:pt>
                <c:pt idx="2">
                  <c:v>3000 - 3499</c:v>
                </c:pt>
                <c:pt idx="3">
                  <c:v>2500 -2999</c:v>
                </c:pt>
                <c:pt idx="4">
                  <c:v>2000 - 2499</c:v>
                </c:pt>
                <c:pt idx="5">
                  <c:v>1500 - 1999</c:v>
                </c:pt>
                <c:pt idx="6">
                  <c:v>1000 - 1499</c:v>
                </c:pt>
                <c:pt idx="7">
                  <c:v>500 - 999</c:v>
                </c:pt>
                <c:pt idx="8">
                  <c:v>0 - 499</c:v>
                </c:pt>
              </c:strCache>
            </c:strRef>
          </c:cat>
          <c:val>
            <c:numRef>
              <c:f>PivotTable!$E$2:$E$11</c:f>
              <c:numCache>
                <c:formatCode>\$#,##0;\(\$#,##0\);\$#,##0</c:formatCode>
                <c:ptCount val="9"/>
                <c:pt idx="0">
                  <c:v>1429308.8315789474</c:v>
                </c:pt>
                <c:pt idx="1">
                  <c:v>953316.02272727271</c:v>
                </c:pt>
                <c:pt idx="2">
                  <c:v>812112.4040114613</c:v>
                </c:pt>
                <c:pt idx="3">
                  <c:v>655272.10281923716</c:v>
                </c:pt>
                <c:pt idx="4">
                  <c:v>549016.55543237249</c:v>
                </c:pt>
                <c:pt idx="5">
                  <c:v>432083.16636528028</c:v>
                </c:pt>
                <c:pt idx="6">
                  <c:v>387382.58660998935</c:v>
                </c:pt>
                <c:pt idx="7">
                  <c:v>295577.83154121862</c:v>
                </c:pt>
                <c:pt idx="8">
                  <c:v>206200</c:v>
                </c:pt>
              </c:numCache>
            </c:numRef>
          </c:val>
          <c:extLst>
            <c:ext xmlns:c16="http://schemas.microsoft.com/office/drawing/2014/chart" uri="{C3380CC4-5D6E-409C-BE32-E72D297353CC}">
              <c16:uniqueId val="{00000000-6117-4D2B-823D-6545E25CC1B7}"/>
            </c:ext>
          </c:extLst>
        </c:ser>
        <c:dLbls>
          <c:dLblPos val="outEnd"/>
          <c:showLegendKey val="0"/>
          <c:showVal val="1"/>
          <c:showCatName val="0"/>
          <c:showSerName val="0"/>
          <c:showPercent val="0"/>
          <c:showBubbleSize val="0"/>
        </c:dLbls>
        <c:gapWidth val="219"/>
        <c:overlap val="-27"/>
        <c:axId val="273777104"/>
        <c:axId val="273768944"/>
      </c:barChart>
      <c:catAx>
        <c:axId val="27377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5B6573"/>
                </a:solidFill>
                <a:latin typeface="Times New Roman" panose="02020603050405020304" pitchFamily="18" charset="0"/>
                <a:ea typeface="+mn-ea"/>
                <a:cs typeface="Times New Roman" panose="02020603050405020304" pitchFamily="18" charset="0"/>
              </a:defRPr>
            </a:pPr>
            <a:endParaRPr lang="en-US"/>
          </a:p>
        </c:txPr>
        <c:crossAx val="273768944"/>
        <c:crosses val="autoZero"/>
        <c:auto val="1"/>
        <c:lblAlgn val="ctr"/>
        <c:lblOffset val="100"/>
        <c:noMultiLvlLbl val="0"/>
      </c:catAx>
      <c:valAx>
        <c:axId val="273768944"/>
        <c:scaling>
          <c:orientation val="minMax"/>
        </c:scaling>
        <c:delete val="0"/>
        <c:axPos val="l"/>
        <c:numFmt formatCode="&quot;$&quot;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B6573"/>
                </a:solidFill>
                <a:latin typeface="Times New Roman" panose="02020603050405020304" pitchFamily="18" charset="0"/>
                <a:ea typeface="+mn-ea"/>
                <a:cs typeface="Times New Roman" panose="02020603050405020304" pitchFamily="18" charset="0"/>
              </a:defRPr>
            </a:pPr>
            <a:endParaRPr lang="en-US"/>
          </a:p>
        </c:txPr>
        <c:crossAx val="27377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[Housing Market Analysis.xlsx]PivotTable!PivotTable4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latin typeface="Times New Roman" panose="02020603050405020304" pitchFamily="18" charset="0"/>
                <a:cs typeface="Times New Roman" panose="02020603050405020304" pitchFamily="18" charset="0"/>
              </a:rPr>
              <a:t>Average</a:t>
            </a:r>
            <a:r>
              <a:rPr lang="en-US" sz="1600" b="1" i="1" baseline="0">
                <a:solidFill>
                  <a:schemeClr val="tx1"/>
                </a:solidFill>
                <a:latin typeface="Times New Roman" panose="02020603050405020304" pitchFamily="18" charset="0"/>
                <a:cs typeface="Times New Roman" panose="02020603050405020304" pitchFamily="18" charset="0"/>
              </a:rPr>
              <a:t> Price by No. of Bedrooms</a:t>
            </a:r>
            <a:endParaRPr lang="en-US" sz="1600" b="1" i="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21725051752831323"/>
          <c:y val="3.946382401129557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75B5"/>
          </a:solidFill>
          <a:ln>
            <a:noFill/>
          </a:ln>
          <a:effectLst/>
        </c:spPr>
        <c:marker>
          <c:symbol val="none"/>
        </c:marker>
        <c:dLbl>
          <c:idx val="0"/>
          <c:numFmt formatCode="&quot;$&quot;#,##0.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40404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PivotTable!$H$1</c:f>
              <c:strCache>
                <c:ptCount val="1"/>
                <c:pt idx="0">
                  <c:v>Total</c:v>
                </c:pt>
              </c:strCache>
            </c:strRef>
          </c:tx>
          <c:spPr>
            <a:solidFill>
              <a:srgbClr val="2F75B5"/>
            </a:solidFill>
            <a:ln>
              <a:noFill/>
            </a:ln>
            <a:effectLst/>
          </c:spPr>
          <c:invertIfNegative val="0"/>
          <c:dLbls>
            <c:numFmt formatCode="&quot;$&quot;#,##0.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40404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PivotTable!$G$2:$G$12</c:f>
              <c:strCache>
                <c:ptCount val="10"/>
                <c:pt idx="0">
                  <c:v>0</c:v>
                </c:pt>
                <c:pt idx="1">
                  <c:v>8</c:v>
                </c:pt>
                <c:pt idx="2">
                  <c:v>7</c:v>
                </c:pt>
                <c:pt idx="3">
                  <c:v>6</c:v>
                </c:pt>
                <c:pt idx="4">
                  <c:v>5</c:v>
                </c:pt>
                <c:pt idx="5">
                  <c:v>4</c:v>
                </c:pt>
                <c:pt idx="6">
                  <c:v>9</c:v>
                </c:pt>
                <c:pt idx="7">
                  <c:v>3</c:v>
                </c:pt>
                <c:pt idx="8">
                  <c:v>2</c:v>
                </c:pt>
                <c:pt idx="9">
                  <c:v>1</c:v>
                </c:pt>
              </c:strCache>
            </c:strRef>
          </c:cat>
          <c:val>
            <c:numRef>
              <c:f>PivotTable!$H$2:$H$12</c:f>
              <c:numCache>
                <c:formatCode>\$#,##0;\(\$#,##0\);\$#,##0</c:formatCode>
                <c:ptCount val="10"/>
                <c:pt idx="0">
                  <c:v>1195324</c:v>
                </c:pt>
                <c:pt idx="1">
                  <c:v>1155000</c:v>
                </c:pt>
                <c:pt idx="2">
                  <c:v>1049428.5714285714</c:v>
                </c:pt>
                <c:pt idx="3">
                  <c:v>845070.05084745761</c:v>
                </c:pt>
                <c:pt idx="4">
                  <c:v>804365.8402366864</c:v>
                </c:pt>
                <c:pt idx="5">
                  <c:v>643100.36243386241</c:v>
                </c:pt>
                <c:pt idx="6">
                  <c:v>599999</c:v>
                </c:pt>
                <c:pt idx="7">
                  <c:v>490302.0538271605</c:v>
                </c:pt>
                <c:pt idx="8">
                  <c:v>395112.31372549018</c:v>
                </c:pt>
                <c:pt idx="9">
                  <c:v>281483.78378378379</c:v>
                </c:pt>
              </c:numCache>
            </c:numRef>
          </c:val>
          <c:extLst>
            <c:ext xmlns:c16="http://schemas.microsoft.com/office/drawing/2014/chart" uri="{C3380CC4-5D6E-409C-BE32-E72D297353CC}">
              <c16:uniqueId val="{00000000-0E7A-47AD-832C-D9C41D13454C}"/>
            </c:ext>
          </c:extLst>
        </c:ser>
        <c:dLbls>
          <c:dLblPos val="outEnd"/>
          <c:showLegendKey val="0"/>
          <c:showVal val="1"/>
          <c:showCatName val="0"/>
          <c:showSerName val="0"/>
          <c:showPercent val="0"/>
          <c:showBubbleSize val="0"/>
        </c:dLbls>
        <c:gapWidth val="219"/>
        <c:overlap val="-27"/>
        <c:axId val="149732815"/>
        <c:axId val="149749615"/>
      </c:barChart>
      <c:catAx>
        <c:axId val="14973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5B6573"/>
                </a:solidFill>
                <a:latin typeface="Times New Roman" panose="02020603050405020304" pitchFamily="18" charset="0"/>
                <a:ea typeface="+mn-ea"/>
                <a:cs typeface="Times New Roman" panose="02020603050405020304" pitchFamily="18" charset="0"/>
              </a:defRPr>
            </a:pPr>
            <a:endParaRPr lang="en-US"/>
          </a:p>
        </c:txPr>
        <c:crossAx val="149749615"/>
        <c:crosses val="autoZero"/>
        <c:auto val="1"/>
        <c:lblAlgn val="ctr"/>
        <c:lblOffset val="100"/>
        <c:noMultiLvlLbl val="0"/>
      </c:catAx>
      <c:valAx>
        <c:axId val="1497496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B6573"/>
                </a:solidFill>
                <a:latin typeface="Times New Roman" panose="02020603050405020304" pitchFamily="18" charset="0"/>
                <a:ea typeface="+mn-ea"/>
                <a:cs typeface="Times New Roman" panose="02020603050405020304" pitchFamily="18" charset="0"/>
              </a:defRPr>
            </a:pPr>
            <a:endParaRPr lang="en-US"/>
          </a:p>
        </c:txPr>
        <c:crossAx val="14973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 Market Analysis.xlsx]PivotTable!PivotTable5</c:name>
    <c:fmtId val="3"/>
  </c:pivotSource>
  <c:chart>
    <c:title>
      <c:tx>
        <c:rich>
          <a:bodyPr rot="0" spcFirstLastPara="1" vertOverflow="ellipsis" vert="horz" wrap="square" anchor="ctr" anchorCtr="1"/>
          <a:lstStyle/>
          <a:p>
            <a:pPr algn="ctr" rtl="0">
              <a:defRPr lang="en-US" sz="1600" b="1" i="1" u="none" strike="noStrike" kern="1200" spc="0" baseline="0">
                <a:solidFill>
                  <a:srgbClr val="17365D"/>
                </a:solidFill>
                <a:latin typeface="Times New Roman" panose="02020603050405020304" pitchFamily="18" charset="0"/>
                <a:ea typeface="+mn-ea"/>
                <a:cs typeface="Times New Roman" panose="02020603050405020304" pitchFamily="18" charset="0"/>
              </a:defRPr>
            </a:pPr>
            <a:r>
              <a:rPr lang="en-US" sz="1600" b="1" i="1" u="none" strike="noStrike" kern="1200" spc="0" baseline="0">
                <a:solidFill>
                  <a:srgbClr val="17365D"/>
                </a:solidFill>
                <a:latin typeface="Times New Roman" panose="02020603050405020304" pitchFamily="18" charset="0"/>
                <a:ea typeface="+mn-ea"/>
                <a:cs typeface="Times New Roman" panose="02020603050405020304" pitchFamily="18" charset="0"/>
              </a:rPr>
              <a:t>Top 10 Cities by Average Price per Sqft</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17365D"/>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75B5"/>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40404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PivotTable!$K$1</c:f>
              <c:strCache>
                <c:ptCount val="1"/>
                <c:pt idx="0">
                  <c:v>Total</c:v>
                </c:pt>
              </c:strCache>
            </c:strRef>
          </c:tx>
          <c:spPr>
            <a:solidFill>
              <a:srgbClr val="2F75B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40404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PivotTable!$J$2:$J$12</c:f>
              <c:strCache>
                <c:ptCount val="10"/>
                <c:pt idx="0">
                  <c:v>Beaux Arts Village</c:v>
                </c:pt>
                <c:pt idx="1">
                  <c:v>Medina</c:v>
                </c:pt>
                <c:pt idx="2">
                  <c:v>Yarrow Point</c:v>
                </c:pt>
                <c:pt idx="3">
                  <c:v>Clyde Hill</c:v>
                </c:pt>
                <c:pt idx="4">
                  <c:v>Mercer Island</c:v>
                </c:pt>
                <c:pt idx="5">
                  <c:v>Seattle</c:v>
                </c:pt>
                <c:pt idx="6">
                  <c:v>Bellevue</c:v>
                </c:pt>
                <c:pt idx="7">
                  <c:v>Kirkland</c:v>
                </c:pt>
                <c:pt idx="8">
                  <c:v>Inglewood-Finn Hill</c:v>
                </c:pt>
                <c:pt idx="9">
                  <c:v>Redmond</c:v>
                </c:pt>
              </c:strCache>
            </c:strRef>
          </c:cat>
          <c:val>
            <c:numRef>
              <c:f>PivotTable!$K$2:$K$12</c:f>
              <c:numCache>
                <c:formatCode>\$#,##0;\(\$#,##0\);\$#,##0</c:formatCode>
                <c:ptCount val="10"/>
                <c:pt idx="0">
                  <c:v>500</c:v>
                </c:pt>
                <c:pt idx="1">
                  <c:v>492.12909090909091</c:v>
                </c:pt>
                <c:pt idx="2">
                  <c:v>490.38249999999999</c:v>
                </c:pt>
                <c:pt idx="3">
                  <c:v>429.66</c:v>
                </c:pt>
                <c:pt idx="4">
                  <c:v>362.01256097560974</c:v>
                </c:pt>
                <c:pt idx="5">
                  <c:v>326.41733504164</c:v>
                </c:pt>
                <c:pt idx="6">
                  <c:v>323.75476868327399</c:v>
                </c:pt>
                <c:pt idx="7">
                  <c:v>288.27914438502671</c:v>
                </c:pt>
                <c:pt idx="8">
                  <c:v>279.61</c:v>
                </c:pt>
                <c:pt idx="9">
                  <c:v>278.73476595744683</c:v>
                </c:pt>
              </c:numCache>
            </c:numRef>
          </c:val>
          <c:extLst>
            <c:ext xmlns:c16="http://schemas.microsoft.com/office/drawing/2014/chart" uri="{C3380CC4-5D6E-409C-BE32-E72D297353CC}">
              <c16:uniqueId val="{00000000-9944-4808-AF27-85846369D9CC}"/>
            </c:ext>
          </c:extLst>
        </c:ser>
        <c:dLbls>
          <c:dLblPos val="outEnd"/>
          <c:showLegendKey val="0"/>
          <c:showVal val="1"/>
          <c:showCatName val="0"/>
          <c:showSerName val="0"/>
          <c:showPercent val="0"/>
          <c:showBubbleSize val="0"/>
        </c:dLbls>
        <c:gapWidth val="182"/>
        <c:axId val="371073456"/>
        <c:axId val="371077296"/>
      </c:barChart>
      <c:catAx>
        <c:axId val="37107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5B6573"/>
                </a:solidFill>
                <a:latin typeface="Times New Roman" panose="02020603050405020304" pitchFamily="18" charset="0"/>
                <a:ea typeface="+mn-ea"/>
                <a:cs typeface="Times New Roman" panose="02020603050405020304" pitchFamily="18" charset="0"/>
              </a:defRPr>
            </a:pPr>
            <a:endParaRPr lang="en-US"/>
          </a:p>
        </c:txPr>
        <c:crossAx val="371077296"/>
        <c:crosses val="autoZero"/>
        <c:auto val="1"/>
        <c:lblAlgn val="ctr"/>
        <c:lblOffset val="100"/>
        <c:noMultiLvlLbl val="0"/>
      </c:catAx>
      <c:valAx>
        <c:axId val="3710772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5B6573"/>
                </a:solidFill>
                <a:latin typeface="Times New Roman" panose="02020603050405020304" pitchFamily="18" charset="0"/>
                <a:ea typeface="+mn-ea"/>
                <a:cs typeface="Times New Roman" panose="02020603050405020304" pitchFamily="18" charset="0"/>
              </a:defRPr>
            </a:pPr>
            <a:endParaRPr lang="en-US"/>
          </a:p>
        </c:txPr>
        <c:crossAx val="37107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 Market Analysis.xlsx]PivotTable!PivotTable6</c:name>
    <c:fmtId val="3"/>
  </c:pivotSource>
  <c:chart>
    <c:title>
      <c:tx>
        <c:rich>
          <a:bodyPr rot="0" spcFirstLastPara="1" vertOverflow="ellipsis" vert="horz" wrap="square" anchor="ctr" anchorCtr="1"/>
          <a:lstStyle/>
          <a:p>
            <a:pPr algn="ctr" rtl="0">
              <a:defRPr lang="en-US" sz="1600" b="1" i="1" u="none" strike="noStrike" kern="1200" spc="0" baseline="0">
                <a:solidFill>
                  <a:srgbClr val="17365D"/>
                </a:solidFill>
                <a:latin typeface="Times New Roman" panose="02020603050405020304" pitchFamily="18" charset="0"/>
                <a:ea typeface="+mn-ea"/>
                <a:cs typeface="Times New Roman" panose="02020603050405020304" pitchFamily="18" charset="0"/>
              </a:defRPr>
            </a:pPr>
            <a:r>
              <a:rPr lang="en-US" sz="1600" b="1" i="1" u="none" strike="noStrike" kern="1200" spc="0" baseline="0">
                <a:solidFill>
                  <a:srgbClr val="17365D"/>
                </a:solidFill>
                <a:latin typeface="Times New Roman" panose="02020603050405020304" pitchFamily="18" charset="0"/>
                <a:ea typeface="+mn-ea"/>
                <a:cs typeface="Times New Roman" panose="02020603050405020304" pitchFamily="18" charset="0"/>
              </a:rPr>
              <a:t>Average House Price by waterfront </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17365D"/>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75B5"/>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40404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PivotTable!$N$1</c:f>
              <c:strCache>
                <c:ptCount val="1"/>
                <c:pt idx="0">
                  <c:v>Total</c:v>
                </c:pt>
              </c:strCache>
            </c:strRef>
          </c:tx>
          <c:spPr>
            <a:solidFill>
              <a:srgbClr val="2F75B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40404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PivotTable!$M$2:$M$4</c:f>
              <c:strCache>
                <c:ptCount val="2"/>
                <c:pt idx="0">
                  <c:v>Has Waterfront</c:v>
                </c:pt>
                <c:pt idx="1">
                  <c:v>No Waterfront</c:v>
                </c:pt>
              </c:strCache>
            </c:strRef>
          </c:cat>
          <c:val>
            <c:numRef>
              <c:f>PivotTable!$N$2:$N$4</c:f>
              <c:numCache>
                <c:formatCode>\$#,##0;\(\$#,##0\);\$#,##0</c:formatCode>
                <c:ptCount val="2"/>
                <c:pt idx="0">
                  <c:v>1596783.3333333333</c:v>
                </c:pt>
                <c:pt idx="1">
                  <c:v>551012.22052643215</c:v>
                </c:pt>
              </c:numCache>
            </c:numRef>
          </c:val>
          <c:extLst>
            <c:ext xmlns:c16="http://schemas.microsoft.com/office/drawing/2014/chart" uri="{C3380CC4-5D6E-409C-BE32-E72D297353CC}">
              <c16:uniqueId val="{00000000-7848-4BD4-A428-5284CBDC75E9}"/>
            </c:ext>
          </c:extLst>
        </c:ser>
        <c:dLbls>
          <c:dLblPos val="outEnd"/>
          <c:showLegendKey val="0"/>
          <c:showVal val="1"/>
          <c:showCatName val="0"/>
          <c:showSerName val="0"/>
          <c:showPercent val="0"/>
          <c:showBubbleSize val="0"/>
        </c:dLbls>
        <c:gapWidth val="219"/>
        <c:overlap val="-27"/>
        <c:axId val="371087856"/>
        <c:axId val="371088336"/>
      </c:barChart>
      <c:catAx>
        <c:axId val="37108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5B6573"/>
                </a:solidFill>
                <a:latin typeface="Times New Roman" panose="02020603050405020304" pitchFamily="18" charset="0"/>
                <a:ea typeface="+mn-ea"/>
                <a:cs typeface="Times New Roman" panose="02020603050405020304" pitchFamily="18" charset="0"/>
              </a:defRPr>
            </a:pPr>
            <a:endParaRPr lang="en-US"/>
          </a:p>
        </c:txPr>
        <c:crossAx val="371088336"/>
        <c:crosses val="autoZero"/>
        <c:auto val="1"/>
        <c:lblAlgn val="ctr"/>
        <c:lblOffset val="100"/>
        <c:noMultiLvlLbl val="0"/>
      </c:catAx>
      <c:valAx>
        <c:axId val="3710883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5B6573"/>
                </a:solidFill>
                <a:latin typeface="Times New Roman" panose="02020603050405020304" pitchFamily="18" charset="0"/>
                <a:ea typeface="+mn-ea"/>
                <a:cs typeface="Times New Roman" panose="02020603050405020304" pitchFamily="18" charset="0"/>
              </a:defRPr>
            </a:pPr>
            <a:endParaRPr lang="en-US"/>
          </a:p>
        </c:txPr>
        <c:crossAx val="37108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 Market Analysis.xlsx]PivotTable!PivotTable7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latin typeface="Times New Roman" panose="02020603050405020304" pitchFamily="18" charset="0"/>
                <a:cs typeface="Times New Roman" panose="02020603050405020304" pitchFamily="18" charset="0"/>
              </a:rPr>
              <a:t>Average House Price by Renovation</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dLbl>
          <c:idx val="0"/>
          <c:spPr>
            <a:noFill/>
            <a:ln>
              <a:noFill/>
            </a:ln>
            <a:effectLst/>
          </c:spPr>
          <c:txPr>
            <a:bodyPr rot="0" spcFirstLastPara="1" vertOverflow="ellipsis" wrap="square" lIns="38100" tIns="19050" rIns="38100" bIns="19050" anchor="t" anchorCtr="1">
              <a:spAutoFit/>
            </a:bodyPr>
            <a:lstStyle/>
            <a:p>
              <a:pPr algn="ctr">
                <a:defRPr lang="en-US" sz="900" b="0" i="0" u="none" strike="noStrike" kern="1200" baseline="0">
                  <a:solidFill>
                    <a:srgbClr val="40404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w="19050">
            <a:solidFill>
              <a:schemeClr val="lt1"/>
            </a:solidFill>
          </a:ln>
          <a:effectLst/>
        </c:spPr>
      </c:pivotFmt>
      <c:pivotFmt>
        <c:idx val="6"/>
        <c:spPr>
          <a:solidFill>
            <a:srgbClr val="17365D"/>
          </a:solidFill>
          <a:ln w="19050">
            <a:solidFill>
              <a:schemeClr val="lt1"/>
            </a:solidFill>
          </a:ln>
          <a:effectLst/>
        </c:spPr>
      </c:pivotFmt>
    </c:pivotFmts>
    <c:plotArea>
      <c:layout/>
      <c:doughnutChart>
        <c:varyColors val="1"/>
        <c:ser>
          <c:idx val="0"/>
          <c:order val="0"/>
          <c:tx>
            <c:strRef>
              <c:f>PivotTable!$N$8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CF-437E-B504-F7C26421839B}"/>
              </c:ext>
            </c:extLst>
          </c:dPt>
          <c:dPt>
            <c:idx val="1"/>
            <c:bubble3D val="0"/>
            <c:spPr>
              <a:solidFill>
                <a:srgbClr val="17365D"/>
              </a:solidFill>
              <a:ln w="19050">
                <a:solidFill>
                  <a:schemeClr val="lt1"/>
                </a:solidFill>
              </a:ln>
              <a:effectLst/>
            </c:spPr>
            <c:extLst>
              <c:ext xmlns:c16="http://schemas.microsoft.com/office/drawing/2014/chart" uri="{C3380CC4-5D6E-409C-BE32-E72D297353CC}">
                <c16:uniqueId val="{00000003-79CF-437E-B504-F7C26421839B}"/>
              </c:ext>
            </c:extLst>
          </c:dPt>
          <c:dLbls>
            <c:spPr>
              <a:noFill/>
              <a:ln>
                <a:noFill/>
              </a:ln>
              <a:effectLst/>
            </c:spPr>
            <c:txPr>
              <a:bodyPr rot="0" spcFirstLastPara="1" vertOverflow="ellipsis" wrap="square" lIns="38100" tIns="19050" rIns="38100" bIns="19050" anchor="t" anchorCtr="1">
                <a:spAutoFit/>
              </a:bodyPr>
              <a:lstStyle/>
              <a:p>
                <a:pPr algn="ctr">
                  <a:defRPr lang="en-US" sz="900" b="0" i="0" u="none" strike="noStrike" kern="1200" baseline="0">
                    <a:solidFill>
                      <a:srgbClr val="40404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PivotTable!$M$9:$M$11</c:f>
              <c:strCache>
                <c:ptCount val="2"/>
                <c:pt idx="0">
                  <c:v>No Renovation</c:v>
                </c:pt>
                <c:pt idx="1">
                  <c:v>Renovated</c:v>
                </c:pt>
              </c:strCache>
            </c:strRef>
          </c:cat>
          <c:val>
            <c:numRef>
              <c:f>PivotTable!$N$9:$N$11</c:f>
              <c:numCache>
                <c:formatCode>\$#,##0;\(\$#,##0\);\$#,##0</c:formatCode>
                <c:ptCount val="2"/>
                <c:pt idx="0">
                  <c:v>571333.25646711013</c:v>
                </c:pt>
                <c:pt idx="1">
                  <c:v>538212.44281842816</c:v>
                </c:pt>
              </c:numCache>
            </c:numRef>
          </c:val>
          <c:extLst>
            <c:ext xmlns:c16="http://schemas.microsoft.com/office/drawing/2014/chart" uri="{C3380CC4-5D6E-409C-BE32-E72D297353CC}">
              <c16:uniqueId val="{00000004-79CF-437E-B504-F7C26421839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rgbClr val="5B6573"/>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55034</xdr:colOff>
      <xdr:row>13</xdr:row>
      <xdr:rowOff>116441</xdr:rowOff>
    </xdr:from>
    <xdr:to>
      <xdr:col>8</xdr:col>
      <xdr:colOff>245533</xdr:colOff>
      <xdr:row>31</xdr:row>
      <xdr:rowOff>19050</xdr:rowOff>
    </xdr:to>
    <xdr:sp macro="" textlink="">
      <xdr:nvSpPr>
        <xdr:cNvPr id="2" name="Rectangle 1">
          <a:extLst>
            <a:ext uri="{FF2B5EF4-FFF2-40B4-BE49-F238E27FC236}">
              <a16:creationId xmlns:a16="http://schemas.microsoft.com/office/drawing/2014/main" id="{F94F63AB-1547-A0A5-3B35-58DE4D81647B}"/>
            </a:ext>
          </a:extLst>
        </xdr:cNvPr>
        <xdr:cNvSpPr/>
      </xdr:nvSpPr>
      <xdr:spPr>
        <a:xfrm>
          <a:off x="55034" y="2554841"/>
          <a:ext cx="5067299" cy="3560209"/>
        </a:xfrm>
        <a:prstGeom prst="rect">
          <a:avLst/>
        </a:prstGeom>
        <a:solidFill>
          <a:srgbClr val="FFFFFF"/>
        </a:solidFill>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0</xdr:col>
      <xdr:colOff>141738</xdr:colOff>
      <xdr:row>5</xdr:row>
      <xdr:rowOff>63500</xdr:rowOff>
    </xdr:from>
    <xdr:to>
      <xdr:col>3</xdr:col>
      <xdr:colOff>571499</xdr:colOff>
      <xdr:row>10</xdr:row>
      <xdr:rowOff>90714</xdr:rowOff>
    </xdr:to>
    <xdr:sp macro="" textlink="">
      <xdr:nvSpPr>
        <xdr:cNvPr id="21" name="Rectangle 20">
          <a:extLst>
            <a:ext uri="{FF2B5EF4-FFF2-40B4-BE49-F238E27FC236}">
              <a16:creationId xmlns:a16="http://schemas.microsoft.com/office/drawing/2014/main" id="{066F24DE-E119-00B0-7289-916DD3DC02D2}"/>
            </a:ext>
          </a:extLst>
        </xdr:cNvPr>
        <xdr:cNvSpPr/>
      </xdr:nvSpPr>
      <xdr:spPr>
        <a:xfrm>
          <a:off x="141738" y="1164167"/>
          <a:ext cx="2271261" cy="1032630"/>
        </a:xfrm>
        <a:prstGeom prst="rect">
          <a:avLst/>
        </a:prstGeom>
        <a:solidFill>
          <a:srgbClr val="EAF2F8"/>
        </a:solidFill>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a:p>
          <a:pPr marL="0" indent="0" algn="ctr"/>
          <a:r>
            <a:rPr lang="en-US" sz="1800" b="1">
              <a:solidFill>
                <a:srgbClr val="163A57"/>
              </a:solidFill>
              <a:latin typeface="Times New Roman" panose="02020603050405020304" pitchFamily="18" charset="0"/>
              <a:ea typeface="+mn-ea"/>
              <a:cs typeface="Times New Roman" panose="02020603050405020304" pitchFamily="18" charset="0"/>
            </a:rPr>
            <a:t>No. of Properties</a:t>
          </a:r>
        </a:p>
        <a:p>
          <a:pPr marL="0" indent="0" algn="ctr"/>
          <a:r>
            <a:rPr lang="en-US" sz="1600" b="1" i="1">
              <a:solidFill>
                <a:srgbClr val="163A57"/>
              </a:solidFill>
              <a:latin typeface="Times New Roman" panose="02020603050405020304" pitchFamily="18" charset="0"/>
              <a:ea typeface="+mn-ea"/>
              <a:cs typeface="Times New Roman" panose="02020603050405020304" pitchFamily="18" charset="0"/>
            </a:rPr>
            <a:t>4551</a:t>
          </a:r>
        </a:p>
      </xdr:txBody>
    </xdr:sp>
    <xdr:clientData/>
  </xdr:twoCellAnchor>
  <xdr:twoCellAnchor>
    <xdr:from>
      <xdr:col>4</xdr:col>
      <xdr:colOff>175001</xdr:colOff>
      <xdr:row>5</xdr:row>
      <xdr:rowOff>65013</xdr:rowOff>
    </xdr:from>
    <xdr:to>
      <xdr:col>8</xdr:col>
      <xdr:colOff>31749</xdr:colOff>
      <xdr:row>10</xdr:row>
      <xdr:rowOff>92227</xdr:rowOff>
    </xdr:to>
    <xdr:sp macro="" textlink="">
      <xdr:nvSpPr>
        <xdr:cNvPr id="22" name="Rectangle 21">
          <a:extLst>
            <a:ext uri="{FF2B5EF4-FFF2-40B4-BE49-F238E27FC236}">
              <a16:creationId xmlns:a16="http://schemas.microsoft.com/office/drawing/2014/main" id="{298156C2-7BC8-51EA-6423-9B9306EC3C9B}"/>
            </a:ext>
          </a:extLst>
        </xdr:cNvPr>
        <xdr:cNvSpPr/>
      </xdr:nvSpPr>
      <xdr:spPr>
        <a:xfrm>
          <a:off x="2630334" y="1165680"/>
          <a:ext cx="2312082" cy="1032630"/>
        </a:xfrm>
        <a:prstGeom prst="rect">
          <a:avLst/>
        </a:prstGeom>
        <a:solidFill>
          <a:srgbClr val="EAF2F8"/>
        </a:solidFill>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US" sz="1100">
            <a:solidFill>
              <a:schemeClr val="dk1"/>
            </a:solidFill>
            <a:latin typeface="+mn-lt"/>
            <a:ea typeface="+mn-ea"/>
            <a:cs typeface="+mn-cs"/>
          </a:endParaRPr>
        </a:p>
        <a:p>
          <a:pPr marL="0" indent="0" algn="ctr"/>
          <a:r>
            <a:rPr lang="en-US" sz="1800" b="1">
              <a:solidFill>
                <a:srgbClr val="163A5F"/>
              </a:solidFill>
              <a:latin typeface="Times New Roman" panose="02020603050405020304" pitchFamily="18" charset="0"/>
              <a:ea typeface="+mn-ea"/>
              <a:cs typeface="Times New Roman" panose="02020603050405020304" pitchFamily="18" charset="0"/>
            </a:rPr>
            <a:t>Total Property Value</a:t>
          </a:r>
        </a:p>
        <a:p>
          <a:pPr marL="0" indent="0" algn="ctr"/>
          <a:r>
            <a:rPr lang="en-US" sz="1600" b="1" i="1">
              <a:solidFill>
                <a:srgbClr val="163A57"/>
              </a:solidFill>
              <a:latin typeface="Times New Roman" panose="02020603050405020304" pitchFamily="18" charset="0"/>
              <a:ea typeface="+mn-ea"/>
              <a:cs typeface="Times New Roman" panose="02020603050405020304" pitchFamily="18" charset="0"/>
            </a:rPr>
            <a:t>$3.0B   </a:t>
          </a:r>
        </a:p>
      </xdr:txBody>
    </xdr:sp>
    <xdr:clientData/>
  </xdr:twoCellAnchor>
  <xdr:twoCellAnchor>
    <xdr:from>
      <xdr:col>8</xdr:col>
      <xdr:colOff>264204</xdr:colOff>
      <xdr:row>5</xdr:row>
      <xdr:rowOff>45357</xdr:rowOff>
    </xdr:from>
    <xdr:to>
      <xdr:col>11</xdr:col>
      <xdr:colOff>512536</xdr:colOff>
      <xdr:row>10</xdr:row>
      <xdr:rowOff>72571</xdr:rowOff>
    </xdr:to>
    <xdr:sp macro="" textlink="">
      <xdr:nvSpPr>
        <xdr:cNvPr id="23" name="Rectangle 22">
          <a:extLst>
            <a:ext uri="{FF2B5EF4-FFF2-40B4-BE49-F238E27FC236}">
              <a16:creationId xmlns:a16="http://schemas.microsoft.com/office/drawing/2014/main" id="{1BB7370B-35C8-6BD5-B7C7-5C80713CE66C}"/>
            </a:ext>
          </a:extLst>
        </xdr:cNvPr>
        <xdr:cNvSpPr/>
      </xdr:nvSpPr>
      <xdr:spPr>
        <a:xfrm>
          <a:off x="5174871" y="1146024"/>
          <a:ext cx="2089832" cy="1032630"/>
        </a:xfrm>
        <a:prstGeom prst="rect">
          <a:avLst/>
        </a:prstGeom>
        <a:solidFill>
          <a:srgbClr val="EAF2F8"/>
        </a:solidFill>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US" sz="1100">
            <a:solidFill>
              <a:schemeClr val="dk1"/>
            </a:solidFill>
            <a:latin typeface="+mn-lt"/>
            <a:ea typeface="+mn-ea"/>
            <a:cs typeface="+mn-cs"/>
          </a:endParaRPr>
        </a:p>
        <a:p>
          <a:pPr marL="0" indent="0" algn="ctr"/>
          <a:r>
            <a:rPr lang="en-US" sz="1800" b="1">
              <a:solidFill>
                <a:srgbClr val="163A5F"/>
              </a:solidFill>
              <a:latin typeface="Times New Roman" panose="02020603050405020304" pitchFamily="18" charset="0"/>
              <a:ea typeface="+mn-ea"/>
              <a:cs typeface="Times New Roman" panose="02020603050405020304" pitchFamily="18" charset="0"/>
            </a:rPr>
            <a:t>Average Price</a:t>
          </a:r>
        </a:p>
        <a:p>
          <a:pPr marL="0" indent="0" algn="ctr"/>
          <a:r>
            <a:rPr lang="en-US" sz="1600" b="1" i="1">
              <a:solidFill>
                <a:srgbClr val="163A5F"/>
              </a:solidFill>
              <a:latin typeface="Times New Roman" panose="02020603050405020304" pitchFamily="18" charset="0"/>
              <a:ea typeface="+mn-ea"/>
              <a:cs typeface="Times New Roman" panose="02020603050405020304" pitchFamily="18" charset="0"/>
            </a:rPr>
            <a:t>$557,906K</a:t>
          </a:r>
        </a:p>
      </xdr:txBody>
    </xdr:sp>
    <xdr:clientData/>
  </xdr:twoCellAnchor>
  <xdr:twoCellAnchor>
    <xdr:from>
      <xdr:col>12</xdr:col>
      <xdr:colOff>66145</xdr:colOff>
      <xdr:row>5</xdr:row>
      <xdr:rowOff>27214</xdr:rowOff>
    </xdr:from>
    <xdr:to>
      <xdr:col>15</xdr:col>
      <xdr:colOff>314477</xdr:colOff>
      <xdr:row>10</xdr:row>
      <xdr:rowOff>54428</xdr:rowOff>
    </xdr:to>
    <xdr:sp macro="" textlink="">
      <xdr:nvSpPr>
        <xdr:cNvPr id="24" name="Rectangle 23">
          <a:extLst>
            <a:ext uri="{FF2B5EF4-FFF2-40B4-BE49-F238E27FC236}">
              <a16:creationId xmlns:a16="http://schemas.microsoft.com/office/drawing/2014/main" id="{A6C4C80D-152D-5970-39CC-5DD58AFCD520}"/>
            </a:ext>
          </a:extLst>
        </xdr:cNvPr>
        <xdr:cNvSpPr/>
      </xdr:nvSpPr>
      <xdr:spPr>
        <a:xfrm>
          <a:off x="7432145" y="1127881"/>
          <a:ext cx="2089832" cy="1032630"/>
        </a:xfrm>
        <a:prstGeom prst="rect">
          <a:avLst/>
        </a:prstGeom>
        <a:solidFill>
          <a:srgbClr val="EAF2F8"/>
        </a:solidFill>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US" sz="1100">
            <a:solidFill>
              <a:schemeClr val="dk1"/>
            </a:solidFill>
            <a:latin typeface="+mn-lt"/>
            <a:ea typeface="+mn-ea"/>
            <a:cs typeface="+mn-cs"/>
          </a:endParaRPr>
        </a:p>
        <a:p>
          <a:pPr marL="0" indent="0" algn="ctr"/>
          <a:r>
            <a:rPr lang="en-US" sz="1800" b="1">
              <a:solidFill>
                <a:srgbClr val="163A5F"/>
              </a:solidFill>
              <a:latin typeface="Times New Roman" panose="02020603050405020304" pitchFamily="18" charset="0"/>
              <a:ea typeface="+mn-ea"/>
              <a:cs typeface="Times New Roman" panose="02020603050405020304" pitchFamily="18" charset="0"/>
            </a:rPr>
            <a:t>Median Price</a:t>
          </a:r>
        </a:p>
        <a:p>
          <a:pPr marL="0" indent="0" algn="ctr"/>
          <a:r>
            <a:rPr lang="en-US" sz="1600" b="1" i="1">
              <a:solidFill>
                <a:srgbClr val="163A5F"/>
              </a:solidFill>
              <a:latin typeface="Times New Roman" panose="02020603050405020304" pitchFamily="18" charset="0"/>
              <a:ea typeface="+mn-ea"/>
              <a:cs typeface="Times New Roman" panose="02020603050405020304" pitchFamily="18" charset="0"/>
            </a:rPr>
            <a:t>$465K</a:t>
          </a:r>
        </a:p>
      </xdr:txBody>
    </xdr:sp>
    <xdr:clientData/>
  </xdr:twoCellAnchor>
  <xdr:twoCellAnchor>
    <xdr:from>
      <xdr:col>16</xdr:col>
      <xdr:colOff>10204</xdr:colOff>
      <xdr:row>5</xdr:row>
      <xdr:rowOff>6048</xdr:rowOff>
    </xdr:from>
    <xdr:to>
      <xdr:col>20</xdr:col>
      <xdr:colOff>21166</xdr:colOff>
      <xdr:row>10</xdr:row>
      <xdr:rowOff>21167</xdr:rowOff>
    </xdr:to>
    <xdr:sp macro="" textlink="">
      <xdr:nvSpPr>
        <xdr:cNvPr id="25" name="Rectangle 24">
          <a:extLst>
            <a:ext uri="{FF2B5EF4-FFF2-40B4-BE49-F238E27FC236}">
              <a16:creationId xmlns:a16="http://schemas.microsoft.com/office/drawing/2014/main" id="{87C6500B-B476-EA8A-DC34-2D136DECB619}"/>
            </a:ext>
          </a:extLst>
        </xdr:cNvPr>
        <xdr:cNvSpPr/>
      </xdr:nvSpPr>
      <xdr:spPr>
        <a:xfrm>
          <a:off x="9662204" y="1053798"/>
          <a:ext cx="2423962" cy="967619"/>
        </a:xfrm>
        <a:prstGeom prst="rect">
          <a:avLst/>
        </a:prstGeom>
        <a:solidFill>
          <a:srgbClr val="EAF2F8"/>
        </a:solidFill>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US" sz="1100">
            <a:solidFill>
              <a:schemeClr val="dk1"/>
            </a:solidFill>
            <a:latin typeface="+mn-lt"/>
            <a:ea typeface="+mn-ea"/>
            <a:cs typeface="+mn-cs"/>
          </a:endParaRPr>
        </a:p>
        <a:p>
          <a:pPr marL="0" indent="0" algn="ctr"/>
          <a:r>
            <a:rPr lang="en-US" sz="1800" b="1">
              <a:solidFill>
                <a:srgbClr val="163A5F"/>
              </a:solidFill>
              <a:latin typeface="Times New Roman" panose="02020603050405020304" pitchFamily="18" charset="0"/>
              <a:ea typeface="+mn-ea"/>
              <a:cs typeface="Times New Roman" panose="02020603050405020304" pitchFamily="18" charset="0"/>
            </a:rPr>
            <a:t>Average Price Per Sqft</a:t>
          </a:r>
        </a:p>
        <a:p>
          <a:pPr marL="0" indent="0" algn="ctr"/>
          <a:r>
            <a:rPr lang="en-US" sz="1600" b="1" i="1">
              <a:solidFill>
                <a:srgbClr val="163A5F"/>
              </a:solidFill>
              <a:latin typeface="Times New Roman" panose="02020603050405020304" pitchFamily="18" charset="0"/>
              <a:ea typeface="+mn-ea"/>
              <a:cs typeface="Times New Roman" panose="02020603050405020304" pitchFamily="18" charset="0"/>
            </a:rPr>
            <a:t>$269</a:t>
          </a:r>
        </a:p>
      </xdr:txBody>
    </xdr:sp>
    <xdr:clientData/>
  </xdr:twoCellAnchor>
  <xdr:twoCellAnchor>
    <xdr:from>
      <xdr:col>0</xdr:col>
      <xdr:colOff>127000</xdr:colOff>
      <xdr:row>15</xdr:row>
      <xdr:rowOff>74083</xdr:rowOff>
    </xdr:from>
    <xdr:to>
      <xdr:col>8</xdr:col>
      <xdr:colOff>169333</xdr:colOff>
      <xdr:row>29</xdr:row>
      <xdr:rowOff>1</xdr:rowOff>
    </xdr:to>
    <xdr:graphicFrame macro="">
      <xdr:nvGraphicFramePr>
        <xdr:cNvPr id="26" name="Chart 25">
          <a:extLst>
            <a:ext uri="{FF2B5EF4-FFF2-40B4-BE49-F238E27FC236}">
              <a16:creationId xmlns:a16="http://schemas.microsoft.com/office/drawing/2014/main" id="{97CF9766-F2AD-4300-AFA1-CA7489E8D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93134</xdr:colOff>
      <xdr:row>13</xdr:row>
      <xdr:rowOff>103741</xdr:rowOff>
    </xdr:from>
    <xdr:to>
      <xdr:col>17</xdr:col>
      <xdr:colOff>283633</xdr:colOff>
      <xdr:row>31</xdr:row>
      <xdr:rowOff>6350</xdr:rowOff>
    </xdr:to>
    <xdr:sp macro="" textlink="">
      <xdr:nvSpPr>
        <xdr:cNvPr id="27" name="Rectangle 26">
          <a:extLst>
            <a:ext uri="{FF2B5EF4-FFF2-40B4-BE49-F238E27FC236}">
              <a16:creationId xmlns:a16="http://schemas.microsoft.com/office/drawing/2014/main" id="{5D3A460F-B95A-BCFF-A4A5-2E9F7234D7E7}"/>
            </a:ext>
          </a:extLst>
        </xdr:cNvPr>
        <xdr:cNvSpPr/>
      </xdr:nvSpPr>
      <xdr:spPr>
        <a:xfrm>
          <a:off x="5579534" y="2542141"/>
          <a:ext cx="5067299" cy="3560209"/>
        </a:xfrm>
        <a:prstGeom prst="rect">
          <a:avLst/>
        </a:prstGeom>
        <a:solidFill>
          <a:srgbClr val="FFFFFF"/>
        </a:solidFill>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9</xdr:col>
      <xdr:colOff>182034</xdr:colOff>
      <xdr:row>14</xdr:row>
      <xdr:rowOff>139700</xdr:rowOff>
    </xdr:from>
    <xdr:to>
      <xdr:col>17</xdr:col>
      <xdr:colOff>125941</xdr:colOff>
      <xdr:row>29</xdr:row>
      <xdr:rowOff>101599</xdr:rowOff>
    </xdr:to>
    <xdr:graphicFrame macro="">
      <xdr:nvGraphicFramePr>
        <xdr:cNvPr id="28" name="Chart 27">
          <a:extLst>
            <a:ext uri="{FF2B5EF4-FFF2-40B4-BE49-F238E27FC236}">
              <a16:creationId xmlns:a16="http://schemas.microsoft.com/office/drawing/2014/main" id="{9A03E89E-91BA-448A-9280-79B492845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362858</xdr:colOff>
      <xdr:row>13</xdr:row>
      <xdr:rowOff>103415</xdr:rowOff>
    </xdr:from>
    <xdr:to>
      <xdr:col>26</xdr:col>
      <xdr:colOff>553357</xdr:colOff>
      <xdr:row>31</xdr:row>
      <xdr:rowOff>9652</xdr:rowOff>
    </xdr:to>
    <xdr:sp macro="" textlink="">
      <xdr:nvSpPr>
        <xdr:cNvPr id="29" name="Rectangle 28">
          <a:extLst>
            <a:ext uri="{FF2B5EF4-FFF2-40B4-BE49-F238E27FC236}">
              <a16:creationId xmlns:a16="http://schemas.microsoft.com/office/drawing/2014/main" id="{E3E3D032-2F8A-4C62-8ADB-86321A611CFB}"/>
            </a:ext>
          </a:extLst>
        </xdr:cNvPr>
        <xdr:cNvSpPr/>
      </xdr:nvSpPr>
      <xdr:spPr>
        <a:xfrm>
          <a:off x="11303001" y="2788558"/>
          <a:ext cx="5052785" cy="3498523"/>
        </a:xfrm>
        <a:prstGeom prst="rect">
          <a:avLst/>
        </a:prstGeom>
        <a:solidFill>
          <a:srgbClr val="FFFFFF"/>
        </a:solidFill>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18</xdr:col>
      <xdr:colOff>444500</xdr:colOff>
      <xdr:row>14</xdr:row>
      <xdr:rowOff>165100</xdr:rowOff>
    </xdr:from>
    <xdr:to>
      <xdr:col>26</xdr:col>
      <xdr:colOff>430741</xdr:colOff>
      <xdr:row>29</xdr:row>
      <xdr:rowOff>28575</xdr:rowOff>
    </xdr:to>
    <xdr:graphicFrame macro="">
      <xdr:nvGraphicFramePr>
        <xdr:cNvPr id="30" name="Chart 29">
          <a:extLst>
            <a:ext uri="{FF2B5EF4-FFF2-40B4-BE49-F238E27FC236}">
              <a16:creationId xmlns:a16="http://schemas.microsoft.com/office/drawing/2014/main" id="{5033F535-60D6-4F42-B2C0-769DAA517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29634</xdr:colOff>
      <xdr:row>32</xdr:row>
      <xdr:rowOff>146073</xdr:rowOff>
    </xdr:from>
    <xdr:to>
      <xdr:col>8</xdr:col>
      <xdr:colOff>220133</xdr:colOff>
      <xdr:row>50</xdr:row>
      <xdr:rowOff>48682</xdr:rowOff>
    </xdr:to>
    <xdr:sp macro="" textlink="">
      <xdr:nvSpPr>
        <xdr:cNvPr id="3" name="Rectangle 2">
          <a:extLst>
            <a:ext uri="{FF2B5EF4-FFF2-40B4-BE49-F238E27FC236}">
              <a16:creationId xmlns:a16="http://schemas.microsoft.com/office/drawing/2014/main" id="{E4F60040-06E6-B182-FC20-46AF2C749490}"/>
            </a:ext>
          </a:extLst>
        </xdr:cNvPr>
        <xdr:cNvSpPr/>
      </xdr:nvSpPr>
      <xdr:spPr>
        <a:xfrm>
          <a:off x="29634" y="6675990"/>
          <a:ext cx="5101166" cy="3522109"/>
        </a:xfrm>
        <a:prstGeom prst="rect">
          <a:avLst/>
        </a:prstGeom>
        <a:solidFill>
          <a:srgbClr val="FFFFFF"/>
        </a:solidFill>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9</xdr:col>
      <xdr:colOff>71967</xdr:colOff>
      <xdr:row>32</xdr:row>
      <xdr:rowOff>177823</xdr:rowOff>
    </xdr:from>
    <xdr:to>
      <xdr:col>17</xdr:col>
      <xdr:colOff>262466</xdr:colOff>
      <xdr:row>50</xdr:row>
      <xdr:rowOff>80432</xdr:rowOff>
    </xdr:to>
    <xdr:sp macro="" textlink="">
      <xdr:nvSpPr>
        <xdr:cNvPr id="4" name="Rectangle 3">
          <a:extLst>
            <a:ext uri="{FF2B5EF4-FFF2-40B4-BE49-F238E27FC236}">
              <a16:creationId xmlns:a16="http://schemas.microsoft.com/office/drawing/2014/main" id="{0F4A9F6F-BDFE-85D6-93D0-972743E7BE5A}"/>
            </a:ext>
          </a:extLst>
        </xdr:cNvPr>
        <xdr:cNvSpPr/>
      </xdr:nvSpPr>
      <xdr:spPr>
        <a:xfrm>
          <a:off x="5596467" y="6707740"/>
          <a:ext cx="5101166" cy="3522109"/>
        </a:xfrm>
        <a:prstGeom prst="rect">
          <a:avLst/>
        </a:prstGeom>
        <a:solidFill>
          <a:srgbClr val="FFFFFF"/>
        </a:solidFill>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18</xdr:col>
      <xdr:colOff>389467</xdr:colOff>
      <xdr:row>33</xdr:row>
      <xdr:rowOff>19073</xdr:rowOff>
    </xdr:from>
    <xdr:to>
      <xdr:col>26</xdr:col>
      <xdr:colOff>579966</xdr:colOff>
      <xdr:row>50</xdr:row>
      <xdr:rowOff>122765</xdr:rowOff>
    </xdr:to>
    <xdr:sp macro="" textlink="">
      <xdr:nvSpPr>
        <xdr:cNvPr id="5" name="Rectangle 4">
          <a:extLst>
            <a:ext uri="{FF2B5EF4-FFF2-40B4-BE49-F238E27FC236}">
              <a16:creationId xmlns:a16="http://schemas.microsoft.com/office/drawing/2014/main" id="{44081738-5AD9-0301-83F6-6059808BFA23}"/>
            </a:ext>
          </a:extLst>
        </xdr:cNvPr>
        <xdr:cNvSpPr/>
      </xdr:nvSpPr>
      <xdr:spPr>
        <a:xfrm>
          <a:off x="11438467" y="6750073"/>
          <a:ext cx="5101166" cy="3522109"/>
        </a:xfrm>
        <a:prstGeom prst="rect">
          <a:avLst/>
        </a:prstGeom>
        <a:solidFill>
          <a:srgbClr val="FFFFFF"/>
        </a:solidFill>
        <a:ln>
          <a:solidFill>
            <a:schemeClr val="tx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0</xdr:col>
      <xdr:colOff>220133</xdr:colOff>
      <xdr:row>33</xdr:row>
      <xdr:rowOff>169333</xdr:rowOff>
    </xdr:from>
    <xdr:to>
      <xdr:col>8</xdr:col>
      <xdr:colOff>21165</xdr:colOff>
      <xdr:row>49</xdr:row>
      <xdr:rowOff>84667</xdr:rowOff>
    </xdr:to>
    <xdr:graphicFrame macro="">
      <xdr:nvGraphicFramePr>
        <xdr:cNvPr id="6" name="Chart 5">
          <a:extLst>
            <a:ext uri="{FF2B5EF4-FFF2-40B4-BE49-F238E27FC236}">
              <a16:creationId xmlns:a16="http://schemas.microsoft.com/office/drawing/2014/main" id="{B03D5B55-17AC-46B4-8380-E91ECF823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273051</xdr:colOff>
      <xdr:row>33</xdr:row>
      <xdr:rowOff>137583</xdr:rowOff>
    </xdr:from>
    <xdr:to>
      <xdr:col>16</xdr:col>
      <xdr:colOff>548218</xdr:colOff>
      <xdr:row>49</xdr:row>
      <xdr:rowOff>95249</xdr:rowOff>
    </xdr:to>
    <xdr:graphicFrame macro="">
      <xdr:nvGraphicFramePr>
        <xdr:cNvPr id="7" name="Chart 6">
          <a:extLst>
            <a:ext uri="{FF2B5EF4-FFF2-40B4-BE49-F238E27FC236}">
              <a16:creationId xmlns:a16="http://schemas.microsoft.com/office/drawing/2014/main" id="{42967018-B2EB-4376-901E-0757DE04C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8467</xdr:colOff>
      <xdr:row>35</xdr:row>
      <xdr:rowOff>40240</xdr:rowOff>
    </xdr:from>
    <xdr:to>
      <xdr:col>26</xdr:col>
      <xdr:colOff>283633</xdr:colOff>
      <xdr:row>48</xdr:row>
      <xdr:rowOff>169357</xdr:rowOff>
    </xdr:to>
    <xdr:graphicFrame macro="">
      <xdr:nvGraphicFramePr>
        <xdr:cNvPr id="8" name="Chart 7">
          <a:extLst>
            <a:ext uri="{FF2B5EF4-FFF2-40B4-BE49-F238E27FC236}">
              <a16:creationId xmlns:a16="http://schemas.microsoft.com/office/drawing/2014/main" id="{C0C4DECD-6EF4-415C-B3AE-BF52480BB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211667</xdr:colOff>
      <xdr:row>5</xdr:row>
      <xdr:rowOff>-1</xdr:rowOff>
    </xdr:from>
    <xdr:to>
      <xdr:col>23</xdr:col>
      <xdr:colOff>198967</xdr:colOff>
      <xdr:row>10</xdr:row>
      <xdr:rowOff>2116</xdr:rowOff>
    </xdr:to>
    <mc:AlternateContent xmlns:mc="http://schemas.openxmlformats.org/markup-compatibility/2006" xmlns:a14="http://schemas.microsoft.com/office/drawing/2010/main">
      <mc:Choice Requires="a14">
        <xdr:graphicFrame macro="">
          <xdr:nvGraphicFramePr>
            <xdr:cNvPr id="9" name="Basement Status">
              <a:extLst>
                <a:ext uri="{FF2B5EF4-FFF2-40B4-BE49-F238E27FC236}">
                  <a16:creationId xmlns:a16="http://schemas.microsoft.com/office/drawing/2014/main" id="{57ECE2B3-B982-496F-852F-B63B6D7078FD}"/>
                </a:ext>
              </a:extLst>
            </xdr:cNvPr>
            <xdr:cNvGraphicFramePr/>
          </xdr:nvGraphicFramePr>
          <xdr:xfrm>
            <a:off x="0" y="0"/>
            <a:ext cx="0" cy="0"/>
          </xdr:xfrm>
          <a:graphic>
            <a:graphicData uri="http://schemas.microsoft.com/office/drawing/2010/slicer">
              <sle:slicer xmlns:sle="http://schemas.microsoft.com/office/drawing/2010/slicer" name="Basement Status"/>
            </a:graphicData>
          </a:graphic>
        </xdr:graphicFrame>
      </mc:Choice>
      <mc:Fallback xmlns="">
        <xdr:sp macro="" textlink="">
          <xdr:nvSpPr>
            <xdr:cNvPr id="0" name=""/>
            <xdr:cNvSpPr>
              <a:spLocks noTextEdit="1"/>
            </xdr:cNvSpPr>
          </xdr:nvSpPr>
          <xdr:spPr>
            <a:xfrm>
              <a:off x="12276667" y="1047749"/>
              <a:ext cx="1797050" cy="954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317499</xdr:colOff>
      <xdr:row>4</xdr:row>
      <xdr:rowOff>169335</xdr:rowOff>
    </xdr:from>
    <xdr:to>
      <xdr:col>26</xdr:col>
      <xdr:colOff>304799</xdr:colOff>
      <xdr:row>10</xdr:row>
      <xdr:rowOff>52917</xdr:rowOff>
    </xdr:to>
    <mc:AlternateContent xmlns:mc="http://schemas.openxmlformats.org/markup-compatibility/2006" xmlns:a14="http://schemas.microsoft.com/office/drawing/2010/main">
      <mc:Choice Requires="a14">
        <xdr:graphicFrame macro="">
          <xdr:nvGraphicFramePr>
            <xdr:cNvPr id="10" name="view">
              <a:extLst>
                <a:ext uri="{FF2B5EF4-FFF2-40B4-BE49-F238E27FC236}">
                  <a16:creationId xmlns:a16="http://schemas.microsoft.com/office/drawing/2014/main" id="{906227AD-D3C3-4CC5-A4D2-D0B896D64D25}"/>
                </a:ext>
              </a:extLst>
            </xdr:cNvPr>
            <xdr:cNvGraphicFramePr/>
          </xdr:nvGraphicFramePr>
          <xdr:xfrm>
            <a:off x="0" y="0"/>
            <a:ext cx="0" cy="0"/>
          </xdr:xfrm>
          <a:graphic>
            <a:graphicData uri="http://schemas.microsoft.com/office/drawing/2010/slicer">
              <sle:slicer xmlns:sle="http://schemas.microsoft.com/office/drawing/2010/slicer" name="view"/>
            </a:graphicData>
          </a:graphic>
        </xdr:graphicFrame>
      </mc:Choice>
      <mc:Fallback xmlns="">
        <xdr:sp macro="" textlink="">
          <xdr:nvSpPr>
            <xdr:cNvPr id="0" name=""/>
            <xdr:cNvSpPr>
              <a:spLocks noTextEdit="1"/>
            </xdr:cNvSpPr>
          </xdr:nvSpPr>
          <xdr:spPr>
            <a:xfrm>
              <a:off x="14192249" y="1026585"/>
              <a:ext cx="1797050" cy="1026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423333</xdr:colOff>
      <xdr:row>4</xdr:row>
      <xdr:rowOff>158751</xdr:rowOff>
    </xdr:from>
    <xdr:to>
      <xdr:col>29</xdr:col>
      <xdr:colOff>410633</xdr:colOff>
      <xdr:row>10</xdr:row>
      <xdr:rowOff>21167</xdr:rowOff>
    </xdr:to>
    <mc:AlternateContent xmlns:mc="http://schemas.openxmlformats.org/markup-compatibility/2006" xmlns:a14="http://schemas.microsoft.com/office/drawing/2010/main">
      <mc:Choice Requires="a14">
        <xdr:graphicFrame macro="">
          <xdr:nvGraphicFramePr>
            <xdr:cNvPr id="11" name="condition">
              <a:extLst>
                <a:ext uri="{FF2B5EF4-FFF2-40B4-BE49-F238E27FC236}">
                  <a16:creationId xmlns:a16="http://schemas.microsoft.com/office/drawing/2014/main" id="{63ACB659-DBFB-4E85-AC2D-63D89E91EFA6}"/>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16107833" y="1016001"/>
              <a:ext cx="1797050" cy="1005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9.900673842596" createdVersion="5" refreshedVersion="8" minRefreshableVersion="3" recordCount="0" supportSubquery="1" supportAdvancedDrill="1" xr:uid="{D7A0FF7A-C240-4AB6-846C-AA67AED2A2BE}">
  <cacheSource type="external" connectionId="2"/>
  <cacheFields count="2">
    <cacheField name="[Housing].[view].[view]" caption="view" numFmtId="0" hierarchy="8" level="1">
      <sharedItems containsSemiMixedTypes="0" containsString="0" containsNumber="1" containsInteger="1" minValue="0" maxValue="4" count="5">
        <n v="0"/>
        <n v="1"/>
        <n v="2"/>
        <n v="3"/>
        <n v="4"/>
      </sharedItems>
      <extLst>
        <ext xmlns:x15="http://schemas.microsoft.com/office/spreadsheetml/2010/11/main" uri="{4F2E5C28-24EA-4eb8-9CBF-B6C8F9C3D259}">
          <x15:cachedUniqueNames>
            <x15:cachedUniqueName index="0" name="[Housing].[view].&amp;[0]"/>
            <x15:cachedUniqueName index="1" name="[Housing].[view].&amp;[1]"/>
            <x15:cachedUniqueName index="2" name="[Housing].[view].&amp;[2]"/>
            <x15:cachedUniqueName index="3" name="[Housing].[view].&amp;[3]"/>
            <x15:cachedUniqueName index="4" name="[Housing].[view].&amp;[4]"/>
          </x15:cachedUniqueNames>
        </ext>
      </extLst>
    </cacheField>
    <cacheField name="[Measures].[Average Price]" caption="Average Price" numFmtId="0" hierarchy="26" level="32767"/>
  </cacheFields>
  <cacheHierarchies count="33">
    <cacheHierarchy uniqueName="[Housing].[date]" caption="date" attribute="1" time="1" defaultMemberUniqueName="[Housing].[date].[All]" allUniqueName="[Housing].[date].[All]" dimensionUniqueName="[Housing]" displayFolder="" count="0" memberValueDatatype="7" unbalanced="0"/>
    <cacheHierarchy uniqueName="[Housing].[price]" caption="price" attribute="1" defaultMemberUniqueName="[Housing].[price].[All]" allUniqueName="[Housing].[price].[All]" dimensionUniqueName="[Housing]" displayFolder="" count="0" memberValueDatatype="20" unbalanced="0"/>
    <cacheHierarchy uniqueName="[Housing].[bedrooms]" caption="bedrooms" attribute="1" defaultMemberUniqueName="[Housing].[bedrooms].[All]" allUniqueName="[Housing].[bedrooms].[All]" dimensionUniqueName="[Housing]" displayFolder="" count="0" memberValueDatatype="20" unbalanced="0"/>
    <cacheHierarchy uniqueName="[Housing].[bathrooms]" caption="bathrooms" attribute="1" defaultMemberUniqueName="[Housing].[bathrooms].[All]" allUniqueName="[Housing].[bathrooms].[All]" dimensionUniqueName="[Housing]" displayFolder="" count="0" memberValueDatatype="5" unbalanced="0"/>
    <cacheHierarchy uniqueName="[Housing].[sqft_living]" caption="sqft_living" attribute="1" defaultMemberUniqueName="[Housing].[sqft_living].[All]" allUniqueName="[Housing].[sqft_living].[All]" dimensionUniqueName="[Housing]" displayFolder="" count="0" memberValueDatatype="20" unbalanced="0"/>
    <cacheHierarchy uniqueName="[Housing].[sqft_lot]" caption="sqft_lot" attribute="1" defaultMemberUniqueName="[Housing].[sqft_lot].[All]" allUniqueName="[Housing].[sqft_lot].[All]" dimensionUniqueName="[Housing]" displayFolder="" count="0" memberValueDatatype="20" unbalanced="0"/>
    <cacheHierarchy uniqueName="[Housing].[floors]" caption="floors" attribute="1" defaultMemberUniqueName="[Housing].[floors].[All]" allUniqueName="[Housing].[floors].[All]" dimensionUniqueName="[Housing]" displayFolder="" count="0" memberValueDatatype="5" unbalanced="0"/>
    <cacheHierarchy uniqueName="[Housing].[waterfront]" caption="waterfront" attribute="1" defaultMemberUniqueName="[Housing].[waterfront].[All]" allUniqueName="[Housing].[waterfront].[All]" dimensionUniqueName="[Housing]" displayFolder="" count="0" memberValueDatatype="20" unbalanced="0"/>
    <cacheHierarchy uniqueName="[Housing].[view]" caption="view" attribute="1" defaultMemberUniqueName="[Housing].[view].[All]" allUniqueName="[Housing].[view].[All]" dimensionUniqueName="[Housing]" displayFolder="" count="2" memberValueDatatype="20" unbalanced="0">
      <fieldsUsage count="2">
        <fieldUsage x="-1"/>
        <fieldUsage x="0"/>
      </fieldsUsage>
    </cacheHierarchy>
    <cacheHierarchy uniqueName="[Housing].[condition]" caption="condition" attribute="1" defaultMemberUniqueName="[Housing].[condition].[All]" allUniqueName="[Housing].[condition].[All]" dimensionUniqueName="[Housing]" displayFolder="" count="2" memberValueDatatype="20" unbalanced="0"/>
    <cacheHierarchy uniqueName="[Housing].[sqft_above]" caption="sqft_above" attribute="1" defaultMemberUniqueName="[Housing].[sqft_above].[All]" allUniqueName="[Housing].[sqft_above].[All]" dimensionUniqueName="[Housing]" displayFolder="" count="0" memberValueDatatype="20" unbalanced="0"/>
    <cacheHierarchy uniqueName="[Housing].[sqft_basement]" caption="sqft_basement" attribute="1" defaultMemberUniqueName="[Housing].[sqft_basement].[All]" allUniqueName="[Housing].[sqft_basement].[All]" dimensionUniqueName="[Housing]" displayFolder="" count="0" memberValueDatatype="20" unbalanced="0"/>
    <cacheHierarchy uniqueName="[Housing].[yr_built]" caption="yr_built" attribute="1" defaultMemberUniqueName="[Housing].[yr_built].[All]" allUniqueName="[Housing].[yr_built].[All]" dimensionUniqueName="[Housing]" displayFolder="" count="0" memberValueDatatype="20" unbalanced="0"/>
    <cacheHierarchy uniqueName="[Housing].[yr_renovated]" caption="yr_renovated" attribute="1" defaultMemberUniqueName="[Housing].[yr_renovated].[All]" allUniqueName="[Housing].[yr_renovated].[All]" dimensionUniqueName="[Housing]" displayFolder="" count="0" memberValueDatatype="20" unbalanced="0"/>
    <cacheHierarchy uniqueName="[Housing].[street]" caption="street" attribute="1" defaultMemberUniqueName="[Housing].[street].[All]" allUniqueName="[Housing].[street].[All]" dimensionUniqueName="[Housing]" displayFolder="" count="0" memberValueDatatype="130" unbalanced="0"/>
    <cacheHierarchy uniqueName="[Housing].[city]" caption="city" attribute="1" defaultMemberUniqueName="[Housing].[city].[All]" allUniqueName="[Housing].[city].[All]" dimensionUniqueName="[Housing]" displayFolder="" count="0" memberValueDatatype="130" unbalanced="0"/>
    <cacheHierarchy uniqueName="[Housing].[statezip]" caption="statezip" attribute="1" defaultMemberUniqueName="[Housing].[statezip].[All]" allUniqueName="[Housing].[statezip].[All]" dimensionUniqueName="[Housing]" displayFolder="" count="0" memberValueDatatype="130" unbalanced="0"/>
    <cacheHierarchy uniqueName="[Housing].[price_per_sqft]" caption="price_per_sqft" attribute="1" defaultMemberUniqueName="[Housing].[price_per_sqft].[All]" allUniqueName="[Housing].[price_per_sqft].[All]" dimensionUniqueName="[Housing]" displayFolder="" count="0" memberValueDatatype="5" unbalanced="0"/>
    <cacheHierarchy uniqueName="[Housing].[Renovation Status]" caption="Renovation Status" attribute="1" defaultMemberUniqueName="[Housing].[Renovation Status].[All]" allUniqueName="[Housing].[Renovation Status].[All]" dimensionUniqueName="[Housing]" displayFolder="" count="0" memberValueDatatype="130" unbalanced="0"/>
    <cacheHierarchy uniqueName="[Housing].[Basement Status]" caption="Basement Status" attribute="1" defaultMemberUniqueName="[Housing].[Basement Status].[All]" allUniqueName="[Housing].[Basement Status].[All]" dimensionUniqueName="[Housing]" displayFolder="" count="2" memberValueDatatype="130" unbalanced="0"/>
    <cacheHierarchy uniqueName="[Housing].[Property Age]" caption="Property Age" attribute="1" defaultMemberUniqueName="[Housing].[Property Age].[All]" allUniqueName="[Housing].[Property Age].[All]" dimensionUniqueName="[Housing]" displayFolder="" count="0" memberValueDatatype="130" unbalanced="0"/>
    <cacheHierarchy uniqueName="[Housing].[Property Age Band]" caption="Property Age Band" attribute="1" defaultMemberUniqueName="[Housing].[Property Age Band].[All]" allUniqueName="[Housing].[Property Age Band].[All]" dimensionUniqueName="[Housing]" displayFolder="" count="0" memberValueDatatype="130" unbalanced="0"/>
    <cacheHierarchy uniqueName="[Housing].[Living Area Band]" caption="Living Area Band" attribute="1" defaultMemberUniqueName="[Housing].[Living Area Band].[All]" allUniqueName="[Housing].[Living Area Band].[All]" dimensionUniqueName="[Housing]" displayFolder="" count="0" memberValueDatatype="130" unbalanced="0"/>
    <cacheHierarchy uniqueName="[Housing].[Waterfront Status]" caption="Waterfront Status" attribute="1" defaultMemberUniqueName="[Housing].[Waterfront Status].[All]" allUniqueName="[Housing].[Waterfront Status].[All]" dimensionUniqueName="[Housing]" displayFolder="" count="0" memberValueDatatype="130" unbalanced="0"/>
    <cacheHierarchy uniqueName="[Measures].[Number of Properties]" caption="Number of Properties" measure="1" displayFolder="" measureGroup="Housing" count="0"/>
    <cacheHierarchy uniqueName="[Measures].[Total Property Value]" caption="Total Property Value" measure="1" displayFolder="" measureGroup="Housing" count="0"/>
    <cacheHierarchy uniqueName="[Measures].[Average Price]" caption="Average Price" measure="1" displayFolder="" measureGroup="Housing" count="0" oneField="1">
      <fieldsUsage count="1">
        <fieldUsage x="1"/>
      </fieldsUsage>
    </cacheHierarchy>
    <cacheHierarchy uniqueName="[Measures].[Median Price]" caption="Median Price" measure="1" displayFolder="" measureGroup="Housing" count="0"/>
    <cacheHierarchy uniqueName="[Measures].[Average Price Per Sqft]" caption="Average Price Per Sqft" measure="1" displayFolder="" measureGroup="Housing" count="0"/>
    <cacheHierarchy uniqueName="[Measures].[__XL_Count Housing]" caption="__XL_Count Housing" measure="1" displayFolder="" measureGroup="Housing" count="0" hidden="1"/>
    <cacheHierarchy uniqueName="[Measures].[__No measures defined]" caption="__No measures defined" measure="1" displayFolder="" count="0" hidden="1"/>
    <cacheHierarchy uniqueName="[Measures].[Sum of bedrooms]" caption="Sum of bedrooms" measure="1" displayFolder="" measureGroup="Housing" count="0" hidden="1">
      <extLst>
        <ext xmlns:x15="http://schemas.microsoft.com/office/spreadsheetml/2010/11/main" uri="{B97F6D7D-B522-45F9-BDA1-12C45D357490}">
          <x15:cacheHierarchy aggregatedColumn="2"/>
        </ext>
      </extLst>
    </cacheHierarchy>
    <cacheHierarchy uniqueName="[Measures].[Sum of view]" caption="Sum of view" measure="1" displayFolder="" measureGroup="Housing" count="0" hidden="1">
      <extLst>
        <ext xmlns:x15="http://schemas.microsoft.com/office/spreadsheetml/2010/11/main" uri="{B97F6D7D-B522-45F9-BDA1-12C45D357490}">
          <x15:cacheHierarchy aggregatedColumn="8"/>
        </ext>
      </extLst>
    </cacheHierarchy>
  </cacheHierarchies>
  <kpis count="0"/>
  <dimensions count="2">
    <dimension name="Housing" uniqueName="[Housing]" caption="Housing"/>
    <dimension measure="1" name="Measures" uniqueName="[Measures]" caption="Measures"/>
  </dimensions>
  <measureGroups count="1">
    <measureGroup name="Housing" caption="Hous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9.900674537035" createdVersion="5" refreshedVersion="8" minRefreshableVersion="3" recordCount="0" supportSubquery="1" supportAdvancedDrill="1" xr:uid="{A1A66C81-883B-4A29-821F-82601C59E00E}">
  <cacheSource type="external" connectionId="2"/>
  <cacheFields count="3">
    <cacheField name="[Housing].[city].[city]" caption="city" numFmtId="0" hierarchy="15" level="1">
      <sharedItems count="10">
        <s v="Beaux Arts Village"/>
        <s v="Bellevue"/>
        <s v="Clyde Hill"/>
        <s v="Fall City"/>
        <s v="Medina"/>
        <s v="Mercer Island"/>
        <s v="Newcastle"/>
        <s v="Redmond"/>
        <s v="Sammamish"/>
        <s v="Yarrow Point"/>
      </sharedItems>
      <extLst>
        <ext xmlns:x15="http://schemas.microsoft.com/office/spreadsheetml/2010/11/main" uri="{4F2E5C28-24EA-4eb8-9CBF-B6C8F9C3D259}">
          <x15:cachedUniqueNames>
            <x15:cachedUniqueName index="0" name="[Housing].[city].&amp;[Beaux Arts Village]"/>
            <x15:cachedUniqueName index="1" name="[Housing].[city].&amp;[Bellevue]"/>
            <x15:cachedUniqueName index="2" name="[Housing].[city].&amp;[Clyde Hill]"/>
            <x15:cachedUniqueName index="3" name="[Housing].[city].&amp;[Fall City]"/>
            <x15:cachedUniqueName index="4" name="[Housing].[city].&amp;[Medina]"/>
            <x15:cachedUniqueName index="5" name="[Housing].[city].&amp;[Mercer Island]"/>
            <x15:cachedUniqueName index="6" name="[Housing].[city].&amp;[Newcastle]"/>
            <x15:cachedUniqueName index="7" name="[Housing].[city].&amp;[Redmond]"/>
            <x15:cachedUniqueName index="8" name="[Housing].[city].&amp;[Sammamish]"/>
            <x15:cachedUniqueName index="9" name="[Housing].[city].&amp;[Yarrow Point]"/>
          </x15:cachedUniqueNames>
        </ext>
      </extLst>
    </cacheField>
    <cacheField name="[Measures].[Average Price]" caption="Average Price" numFmtId="0" hierarchy="26" level="32767"/>
    <cacheField name="[Housing].[view].[view]" caption="view" numFmtId="0" hierarchy="8" level="1">
      <sharedItems containsSemiMixedTypes="0" containsNonDate="0" containsString="0"/>
    </cacheField>
  </cacheFields>
  <cacheHierarchies count="33">
    <cacheHierarchy uniqueName="[Housing].[date]" caption="date" attribute="1" time="1" defaultMemberUniqueName="[Housing].[date].[All]" allUniqueName="[Housing].[date].[All]" dimensionUniqueName="[Housing]" displayFolder="" count="0" memberValueDatatype="7" unbalanced="0"/>
    <cacheHierarchy uniqueName="[Housing].[price]" caption="price" attribute="1" defaultMemberUniqueName="[Housing].[price].[All]" allUniqueName="[Housing].[price].[All]" dimensionUniqueName="[Housing]" displayFolder="" count="0" memberValueDatatype="20" unbalanced="0"/>
    <cacheHierarchy uniqueName="[Housing].[bedrooms]" caption="bedrooms" attribute="1" defaultMemberUniqueName="[Housing].[bedrooms].[All]" allUniqueName="[Housing].[bedrooms].[All]" dimensionUniqueName="[Housing]" displayFolder="" count="0" memberValueDatatype="20" unbalanced="0"/>
    <cacheHierarchy uniqueName="[Housing].[bathrooms]" caption="bathrooms" attribute="1" defaultMemberUniqueName="[Housing].[bathrooms].[All]" allUniqueName="[Housing].[bathrooms].[All]" dimensionUniqueName="[Housing]" displayFolder="" count="0" memberValueDatatype="5" unbalanced="0"/>
    <cacheHierarchy uniqueName="[Housing].[sqft_living]" caption="sqft_living" attribute="1" defaultMemberUniqueName="[Housing].[sqft_living].[All]" allUniqueName="[Housing].[sqft_living].[All]" dimensionUniqueName="[Housing]" displayFolder="" count="0" memberValueDatatype="20" unbalanced="0"/>
    <cacheHierarchy uniqueName="[Housing].[sqft_lot]" caption="sqft_lot" attribute="1" defaultMemberUniqueName="[Housing].[sqft_lot].[All]" allUniqueName="[Housing].[sqft_lot].[All]" dimensionUniqueName="[Housing]" displayFolder="" count="0" memberValueDatatype="20" unbalanced="0"/>
    <cacheHierarchy uniqueName="[Housing].[floors]" caption="floors" attribute="1" defaultMemberUniqueName="[Housing].[floors].[All]" allUniqueName="[Housing].[floors].[All]" dimensionUniqueName="[Housing]" displayFolder="" count="0" memberValueDatatype="5" unbalanced="0"/>
    <cacheHierarchy uniqueName="[Housing].[waterfront]" caption="waterfront" attribute="1" defaultMemberUniqueName="[Housing].[waterfront].[All]" allUniqueName="[Housing].[waterfront].[All]" dimensionUniqueName="[Housing]" displayFolder="" count="0" memberValueDatatype="20" unbalanced="0"/>
    <cacheHierarchy uniqueName="[Housing].[view]" caption="view" attribute="1" defaultMemberUniqueName="[Housing].[view].[All]" allUniqueName="[Housing].[view].[All]" dimensionUniqueName="[Housing]" displayFolder="" count="2" memberValueDatatype="20" unbalanced="0">
      <fieldsUsage count="2">
        <fieldUsage x="-1"/>
        <fieldUsage x="2"/>
      </fieldsUsage>
    </cacheHierarchy>
    <cacheHierarchy uniqueName="[Housing].[condition]" caption="condition" attribute="1" defaultMemberUniqueName="[Housing].[condition].[All]" allUniqueName="[Housing].[condition].[All]" dimensionUniqueName="[Housing]" displayFolder="" count="2" memberValueDatatype="20" unbalanced="0"/>
    <cacheHierarchy uniqueName="[Housing].[sqft_above]" caption="sqft_above" attribute="1" defaultMemberUniqueName="[Housing].[sqft_above].[All]" allUniqueName="[Housing].[sqft_above].[All]" dimensionUniqueName="[Housing]" displayFolder="" count="0" memberValueDatatype="20" unbalanced="0"/>
    <cacheHierarchy uniqueName="[Housing].[sqft_basement]" caption="sqft_basement" attribute="1" defaultMemberUniqueName="[Housing].[sqft_basement].[All]" allUniqueName="[Housing].[sqft_basement].[All]" dimensionUniqueName="[Housing]" displayFolder="" count="0" memberValueDatatype="20" unbalanced="0"/>
    <cacheHierarchy uniqueName="[Housing].[yr_built]" caption="yr_built" attribute="1" defaultMemberUniqueName="[Housing].[yr_built].[All]" allUniqueName="[Housing].[yr_built].[All]" dimensionUniqueName="[Housing]" displayFolder="" count="0" memberValueDatatype="20" unbalanced="0"/>
    <cacheHierarchy uniqueName="[Housing].[yr_renovated]" caption="yr_renovated" attribute="1" defaultMemberUniqueName="[Housing].[yr_renovated].[All]" allUniqueName="[Housing].[yr_renovated].[All]" dimensionUniqueName="[Housing]" displayFolder="" count="0" memberValueDatatype="20" unbalanced="0"/>
    <cacheHierarchy uniqueName="[Housing].[street]" caption="street" attribute="1" defaultMemberUniqueName="[Housing].[street].[All]" allUniqueName="[Housing].[street].[All]" dimensionUniqueName="[Housing]" displayFolder="" count="0" memberValueDatatype="130" unbalanced="0"/>
    <cacheHierarchy uniqueName="[Housing].[city]" caption="city" attribute="1" defaultMemberUniqueName="[Housing].[city].[All]" allUniqueName="[Housing].[city].[All]" dimensionUniqueName="[Housing]" displayFolder="" count="2" memberValueDatatype="130" unbalanced="0">
      <fieldsUsage count="2">
        <fieldUsage x="-1"/>
        <fieldUsage x="0"/>
      </fieldsUsage>
    </cacheHierarchy>
    <cacheHierarchy uniqueName="[Housing].[statezip]" caption="statezip" attribute="1" defaultMemberUniqueName="[Housing].[statezip].[All]" allUniqueName="[Housing].[statezip].[All]" dimensionUniqueName="[Housing]" displayFolder="" count="0" memberValueDatatype="130" unbalanced="0"/>
    <cacheHierarchy uniqueName="[Housing].[price_per_sqft]" caption="price_per_sqft" attribute="1" defaultMemberUniqueName="[Housing].[price_per_sqft].[All]" allUniqueName="[Housing].[price_per_sqft].[All]" dimensionUniqueName="[Housing]" displayFolder="" count="0" memberValueDatatype="5" unbalanced="0"/>
    <cacheHierarchy uniqueName="[Housing].[Renovation Status]" caption="Renovation Status" attribute="1" defaultMemberUniqueName="[Housing].[Renovation Status].[All]" allUniqueName="[Housing].[Renovation Status].[All]" dimensionUniqueName="[Housing]" displayFolder="" count="0" memberValueDatatype="130" unbalanced="0"/>
    <cacheHierarchy uniqueName="[Housing].[Basement Status]" caption="Basement Status" attribute="1" defaultMemberUniqueName="[Housing].[Basement Status].[All]" allUniqueName="[Housing].[Basement Status].[All]" dimensionUniqueName="[Housing]" displayFolder="" count="2" memberValueDatatype="130" unbalanced="0"/>
    <cacheHierarchy uniqueName="[Housing].[Property Age]" caption="Property Age" attribute="1" defaultMemberUniqueName="[Housing].[Property Age].[All]" allUniqueName="[Housing].[Property Age].[All]" dimensionUniqueName="[Housing]" displayFolder="" count="0" memberValueDatatype="130" unbalanced="0"/>
    <cacheHierarchy uniqueName="[Housing].[Property Age Band]" caption="Property Age Band" attribute="1" defaultMemberUniqueName="[Housing].[Property Age Band].[All]" allUniqueName="[Housing].[Property Age Band].[All]" dimensionUniqueName="[Housing]" displayFolder="" count="0" memberValueDatatype="130" unbalanced="0"/>
    <cacheHierarchy uniqueName="[Housing].[Living Area Band]" caption="Living Area Band" attribute="1" defaultMemberUniqueName="[Housing].[Living Area Band].[All]" allUniqueName="[Housing].[Living Area Band].[All]" dimensionUniqueName="[Housing]" displayFolder="" count="0" memberValueDatatype="130" unbalanced="0"/>
    <cacheHierarchy uniqueName="[Housing].[Waterfront Status]" caption="Waterfront Status" attribute="1" defaultMemberUniqueName="[Housing].[Waterfront Status].[All]" allUniqueName="[Housing].[Waterfront Status].[All]" dimensionUniqueName="[Housing]" displayFolder="" count="0" memberValueDatatype="130" unbalanced="0"/>
    <cacheHierarchy uniqueName="[Measures].[Number of Properties]" caption="Number of Properties" measure="1" displayFolder="" measureGroup="Housing" count="0"/>
    <cacheHierarchy uniqueName="[Measures].[Total Property Value]" caption="Total Property Value" measure="1" displayFolder="" measureGroup="Housing" count="0"/>
    <cacheHierarchy uniqueName="[Measures].[Average Price]" caption="Average Price" measure="1" displayFolder="" measureGroup="Housing" count="0" oneField="1">
      <fieldsUsage count="1">
        <fieldUsage x="1"/>
      </fieldsUsage>
    </cacheHierarchy>
    <cacheHierarchy uniqueName="[Measures].[Median Price]" caption="Median Price" measure="1" displayFolder="" measureGroup="Housing" count="0"/>
    <cacheHierarchy uniqueName="[Measures].[Average Price Per Sqft]" caption="Average Price Per Sqft" measure="1" displayFolder="" measureGroup="Housing" count="0"/>
    <cacheHierarchy uniqueName="[Measures].[__XL_Count Housing]" caption="__XL_Count Housing" measure="1" displayFolder="" measureGroup="Housing" count="0" hidden="1"/>
    <cacheHierarchy uniqueName="[Measures].[__No measures defined]" caption="__No measures defined" measure="1" displayFolder="" count="0" hidden="1"/>
    <cacheHierarchy uniqueName="[Measures].[Sum of bedrooms]" caption="Sum of bedrooms" measure="1" displayFolder="" measureGroup="Housing" count="0" hidden="1">
      <extLst>
        <ext xmlns:x15="http://schemas.microsoft.com/office/spreadsheetml/2010/11/main" uri="{B97F6D7D-B522-45F9-BDA1-12C45D357490}">
          <x15:cacheHierarchy aggregatedColumn="2"/>
        </ext>
      </extLst>
    </cacheHierarchy>
    <cacheHierarchy uniqueName="[Measures].[Sum of view]" caption="Sum of view" measure="1" displayFolder="" measureGroup="Housing" count="0" hidden="1">
      <extLst>
        <ext xmlns:x15="http://schemas.microsoft.com/office/spreadsheetml/2010/11/main" uri="{B97F6D7D-B522-45F9-BDA1-12C45D357490}">
          <x15:cacheHierarchy aggregatedColumn="8"/>
        </ext>
      </extLst>
    </cacheHierarchy>
  </cacheHierarchies>
  <kpis count="0"/>
  <dimensions count="2">
    <dimension name="Housing" uniqueName="[Housing]" caption="Housing"/>
    <dimension measure="1" name="Measures" uniqueName="[Measures]" caption="Measures"/>
  </dimensions>
  <measureGroups count="1">
    <measureGroup name="Housing" caption="Hous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9.900674884258" createdVersion="5" refreshedVersion="8" minRefreshableVersion="3" recordCount="0" supportSubquery="1" supportAdvancedDrill="1" xr:uid="{7B7BD70B-84C2-4C44-B4C3-114C647387D5}">
  <cacheSource type="external" connectionId="2"/>
  <cacheFields count="3">
    <cacheField name="[Housing].[condition].[condition]" caption="condition" numFmtId="0" hierarchy="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Housing].[condition].&amp;[1]"/>
            <x15:cachedUniqueName index="1" name="[Housing].[condition].&amp;[2]"/>
            <x15:cachedUniqueName index="2" name="[Housing].[condition].&amp;[3]"/>
            <x15:cachedUniqueName index="3" name="[Housing].[condition].&amp;[4]"/>
            <x15:cachedUniqueName index="4" name="[Housing].[condition].&amp;[5]"/>
          </x15:cachedUniqueNames>
        </ext>
      </extLst>
    </cacheField>
    <cacheField name="[Measures].[Average Price]" caption="Average Price" numFmtId="0" hierarchy="26" level="32767"/>
    <cacheField name="[Housing].[view].[view]" caption="view" numFmtId="0" hierarchy="8" level="1">
      <sharedItems containsSemiMixedTypes="0" containsNonDate="0" containsString="0"/>
    </cacheField>
  </cacheFields>
  <cacheHierarchies count="33">
    <cacheHierarchy uniqueName="[Housing].[date]" caption="date" attribute="1" time="1" defaultMemberUniqueName="[Housing].[date].[All]" allUniqueName="[Housing].[date].[All]" dimensionUniqueName="[Housing]" displayFolder="" count="0" memberValueDatatype="7" unbalanced="0"/>
    <cacheHierarchy uniqueName="[Housing].[price]" caption="price" attribute="1" defaultMemberUniqueName="[Housing].[price].[All]" allUniqueName="[Housing].[price].[All]" dimensionUniqueName="[Housing]" displayFolder="" count="0" memberValueDatatype="20" unbalanced="0"/>
    <cacheHierarchy uniqueName="[Housing].[bedrooms]" caption="bedrooms" attribute="1" defaultMemberUniqueName="[Housing].[bedrooms].[All]" allUniqueName="[Housing].[bedrooms].[All]" dimensionUniqueName="[Housing]" displayFolder="" count="0" memberValueDatatype="20" unbalanced="0"/>
    <cacheHierarchy uniqueName="[Housing].[bathrooms]" caption="bathrooms" attribute="1" defaultMemberUniqueName="[Housing].[bathrooms].[All]" allUniqueName="[Housing].[bathrooms].[All]" dimensionUniqueName="[Housing]" displayFolder="" count="0" memberValueDatatype="5" unbalanced="0"/>
    <cacheHierarchy uniqueName="[Housing].[sqft_living]" caption="sqft_living" attribute="1" defaultMemberUniqueName="[Housing].[sqft_living].[All]" allUniqueName="[Housing].[sqft_living].[All]" dimensionUniqueName="[Housing]" displayFolder="" count="0" memberValueDatatype="20" unbalanced="0"/>
    <cacheHierarchy uniqueName="[Housing].[sqft_lot]" caption="sqft_lot" attribute="1" defaultMemberUniqueName="[Housing].[sqft_lot].[All]" allUniqueName="[Housing].[sqft_lot].[All]" dimensionUniqueName="[Housing]" displayFolder="" count="0" memberValueDatatype="20" unbalanced="0"/>
    <cacheHierarchy uniqueName="[Housing].[floors]" caption="floors" attribute="1" defaultMemberUniqueName="[Housing].[floors].[All]" allUniqueName="[Housing].[floors].[All]" dimensionUniqueName="[Housing]" displayFolder="" count="0" memberValueDatatype="5" unbalanced="0"/>
    <cacheHierarchy uniqueName="[Housing].[waterfront]" caption="waterfront" attribute="1" defaultMemberUniqueName="[Housing].[waterfront].[All]" allUniqueName="[Housing].[waterfront].[All]" dimensionUniqueName="[Housing]" displayFolder="" count="0" memberValueDatatype="20" unbalanced="0"/>
    <cacheHierarchy uniqueName="[Housing].[view]" caption="view" attribute="1" defaultMemberUniqueName="[Housing].[view].[All]" allUniqueName="[Housing].[view].[All]" dimensionUniqueName="[Housing]" displayFolder="" count="2" memberValueDatatype="20" unbalanced="0">
      <fieldsUsage count="2">
        <fieldUsage x="-1"/>
        <fieldUsage x="2"/>
      </fieldsUsage>
    </cacheHierarchy>
    <cacheHierarchy uniqueName="[Housing].[condition]" caption="condition" attribute="1" defaultMemberUniqueName="[Housing].[condition].[All]" allUniqueName="[Housing].[condition].[All]" dimensionUniqueName="[Housing]" displayFolder="" count="2" memberValueDatatype="20" unbalanced="0">
      <fieldsUsage count="2">
        <fieldUsage x="-1"/>
        <fieldUsage x="0"/>
      </fieldsUsage>
    </cacheHierarchy>
    <cacheHierarchy uniqueName="[Housing].[sqft_above]" caption="sqft_above" attribute="1" defaultMemberUniqueName="[Housing].[sqft_above].[All]" allUniqueName="[Housing].[sqft_above].[All]" dimensionUniqueName="[Housing]" displayFolder="" count="0" memberValueDatatype="20" unbalanced="0"/>
    <cacheHierarchy uniqueName="[Housing].[sqft_basement]" caption="sqft_basement" attribute="1" defaultMemberUniqueName="[Housing].[sqft_basement].[All]" allUniqueName="[Housing].[sqft_basement].[All]" dimensionUniqueName="[Housing]" displayFolder="" count="0" memberValueDatatype="20" unbalanced="0"/>
    <cacheHierarchy uniqueName="[Housing].[yr_built]" caption="yr_built" attribute="1" defaultMemberUniqueName="[Housing].[yr_built].[All]" allUniqueName="[Housing].[yr_built].[All]" dimensionUniqueName="[Housing]" displayFolder="" count="0" memberValueDatatype="20" unbalanced="0"/>
    <cacheHierarchy uniqueName="[Housing].[yr_renovated]" caption="yr_renovated" attribute="1" defaultMemberUniqueName="[Housing].[yr_renovated].[All]" allUniqueName="[Housing].[yr_renovated].[All]" dimensionUniqueName="[Housing]" displayFolder="" count="0" memberValueDatatype="20" unbalanced="0"/>
    <cacheHierarchy uniqueName="[Housing].[street]" caption="street" attribute="1" defaultMemberUniqueName="[Housing].[street].[All]" allUniqueName="[Housing].[street].[All]" dimensionUniqueName="[Housing]" displayFolder="" count="0" memberValueDatatype="130" unbalanced="0"/>
    <cacheHierarchy uniqueName="[Housing].[city]" caption="city" attribute="1" defaultMemberUniqueName="[Housing].[city].[All]" allUniqueName="[Housing].[city].[All]" dimensionUniqueName="[Housing]" displayFolder="" count="0" memberValueDatatype="130" unbalanced="0"/>
    <cacheHierarchy uniqueName="[Housing].[statezip]" caption="statezip" attribute="1" defaultMemberUniqueName="[Housing].[statezip].[All]" allUniqueName="[Housing].[statezip].[All]" dimensionUniqueName="[Housing]" displayFolder="" count="0" memberValueDatatype="130" unbalanced="0"/>
    <cacheHierarchy uniqueName="[Housing].[price_per_sqft]" caption="price_per_sqft" attribute="1" defaultMemberUniqueName="[Housing].[price_per_sqft].[All]" allUniqueName="[Housing].[price_per_sqft].[All]" dimensionUniqueName="[Housing]" displayFolder="" count="0" memberValueDatatype="5" unbalanced="0"/>
    <cacheHierarchy uniqueName="[Housing].[Renovation Status]" caption="Renovation Status" attribute="1" defaultMemberUniqueName="[Housing].[Renovation Status].[All]" allUniqueName="[Housing].[Renovation Status].[All]" dimensionUniqueName="[Housing]" displayFolder="" count="0" memberValueDatatype="130" unbalanced="0"/>
    <cacheHierarchy uniqueName="[Housing].[Basement Status]" caption="Basement Status" attribute="1" defaultMemberUniqueName="[Housing].[Basement Status].[All]" allUniqueName="[Housing].[Basement Status].[All]" dimensionUniqueName="[Housing]" displayFolder="" count="2" memberValueDatatype="130" unbalanced="0"/>
    <cacheHierarchy uniqueName="[Housing].[Property Age]" caption="Property Age" attribute="1" defaultMemberUniqueName="[Housing].[Property Age].[All]" allUniqueName="[Housing].[Property Age].[All]" dimensionUniqueName="[Housing]" displayFolder="" count="0" memberValueDatatype="130" unbalanced="0"/>
    <cacheHierarchy uniqueName="[Housing].[Property Age Band]" caption="Property Age Band" attribute="1" defaultMemberUniqueName="[Housing].[Property Age Band].[All]" allUniqueName="[Housing].[Property Age Band].[All]" dimensionUniqueName="[Housing]" displayFolder="" count="0" memberValueDatatype="130" unbalanced="0"/>
    <cacheHierarchy uniqueName="[Housing].[Living Area Band]" caption="Living Area Band" attribute="1" defaultMemberUniqueName="[Housing].[Living Area Band].[All]" allUniqueName="[Housing].[Living Area Band].[All]" dimensionUniqueName="[Housing]" displayFolder="" count="0" memberValueDatatype="130" unbalanced="0"/>
    <cacheHierarchy uniqueName="[Housing].[Waterfront Status]" caption="Waterfront Status" attribute="1" defaultMemberUniqueName="[Housing].[Waterfront Status].[All]" allUniqueName="[Housing].[Waterfront Status].[All]" dimensionUniqueName="[Housing]" displayFolder="" count="0" memberValueDatatype="130" unbalanced="0"/>
    <cacheHierarchy uniqueName="[Measures].[Number of Properties]" caption="Number of Properties" measure="1" displayFolder="" measureGroup="Housing" count="0"/>
    <cacheHierarchy uniqueName="[Measures].[Total Property Value]" caption="Total Property Value" measure="1" displayFolder="" measureGroup="Housing" count="0"/>
    <cacheHierarchy uniqueName="[Measures].[Average Price]" caption="Average Price" measure="1" displayFolder="" measureGroup="Housing" count="0" oneField="1">
      <fieldsUsage count="1">
        <fieldUsage x="1"/>
      </fieldsUsage>
    </cacheHierarchy>
    <cacheHierarchy uniqueName="[Measures].[Median Price]" caption="Median Price" measure="1" displayFolder="" measureGroup="Housing" count="0"/>
    <cacheHierarchy uniqueName="[Measures].[Average Price Per Sqft]" caption="Average Price Per Sqft" measure="1" displayFolder="" measureGroup="Housing" count="0"/>
    <cacheHierarchy uniqueName="[Measures].[__XL_Count Housing]" caption="__XL_Count Housing" measure="1" displayFolder="" measureGroup="Housing" count="0" hidden="1"/>
    <cacheHierarchy uniqueName="[Measures].[__No measures defined]" caption="__No measures defined" measure="1" displayFolder="" count="0" hidden="1"/>
    <cacheHierarchy uniqueName="[Measures].[Sum of bedrooms]" caption="Sum of bedrooms" measure="1" displayFolder="" measureGroup="Housing" count="0" hidden="1">
      <extLst>
        <ext xmlns:x15="http://schemas.microsoft.com/office/spreadsheetml/2010/11/main" uri="{B97F6D7D-B522-45F9-BDA1-12C45D357490}">
          <x15:cacheHierarchy aggregatedColumn="2"/>
        </ext>
      </extLst>
    </cacheHierarchy>
    <cacheHierarchy uniqueName="[Measures].[Sum of view]" caption="Sum of view" measure="1" displayFolder="" measureGroup="Housing" count="0" hidden="1">
      <extLst>
        <ext xmlns:x15="http://schemas.microsoft.com/office/spreadsheetml/2010/11/main" uri="{B97F6D7D-B522-45F9-BDA1-12C45D357490}">
          <x15:cacheHierarchy aggregatedColumn="8"/>
        </ext>
      </extLst>
    </cacheHierarchy>
  </cacheHierarchies>
  <kpis count="0"/>
  <dimensions count="2">
    <dimension name="Housing" uniqueName="[Housing]" caption="Housing"/>
    <dimension measure="1" name="Measures" uniqueName="[Measures]" caption="Measures"/>
  </dimensions>
  <measureGroups count="1">
    <measureGroup name="Housing" caption="Hous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9.90067534722" createdVersion="5" refreshedVersion="8" minRefreshableVersion="3" recordCount="0" supportSubquery="1" supportAdvancedDrill="1" xr:uid="{43C8B75D-1814-422A-AE2B-944BC0229A14}">
  <cacheSource type="external" connectionId="2"/>
  <cacheFields count="6">
    <cacheField name="[Measures].[Number of Properties]" caption="Number of Properties" numFmtId="0" hierarchy="24" level="32767"/>
    <cacheField name="[Measures].[Total Property Value]" caption="Total Property Value" numFmtId="0" hierarchy="25" level="32767"/>
    <cacheField name="[Measures].[Average Price]" caption="Average Price" numFmtId="0" hierarchy="26" level="32767"/>
    <cacheField name="[Measures].[Median Price]" caption="Median Price" numFmtId="0" hierarchy="27" level="32767"/>
    <cacheField name="[Measures].[Average Price Per Sqft]" caption="Average Price Per Sqft" numFmtId="0" hierarchy="28" level="32767"/>
    <cacheField name="[Housing].[view].[view]" caption="view" numFmtId="0" hierarchy="8" level="1">
      <sharedItems containsSemiMixedTypes="0" containsNonDate="0" containsString="0"/>
    </cacheField>
  </cacheFields>
  <cacheHierarchies count="33">
    <cacheHierarchy uniqueName="[Housing].[date]" caption="date" attribute="1" time="1" defaultMemberUniqueName="[Housing].[date].[All]" allUniqueName="[Housing].[date].[All]" dimensionUniqueName="[Housing]" displayFolder="" count="0" memberValueDatatype="7" unbalanced="0"/>
    <cacheHierarchy uniqueName="[Housing].[price]" caption="price" attribute="1" defaultMemberUniqueName="[Housing].[price].[All]" allUniqueName="[Housing].[price].[All]" dimensionUniqueName="[Housing]" displayFolder="" count="0" memberValueDatatype="20" unbalanced="0"/>
    <cacheHierarchy uniqueName="[Housing].[bedrooms]" caption="bedrooms" attribute="1" defaultMemberUniqueName="[Housing].[bedrooms].[All]" allUniqueName="[Housing].[bedrooms].[All]" dimensionUniqueName="[Housing]" displayFolder="" count="0" memberValueDatatype="20" unbalanced="0"/>
    <cacheHierarchy uniqueName="[Housing].[bathrooms]" caption="bathrooms" attribute="1" defaultMemberUniqueName="[Housing].[bathrooms].[All]" allUniqueName="[Housing].[bathrooms].[All]" dimensionUniqueName="[Housing]" displayFolder="" count="0" memberValueDatatype="5" unbalanced="0"/>
    <cacheHierarchy uniqueName="[Housing].[sqft_living]" caption="sqft_living" attribute="1" defaultMemberUniqueName="[Housing].[sqft_living].[All]" allUniqueName="[Housing].[sqft_living].[All]" dimensionUniqueName="[Housing]" displayFolder="" count="0" memberValueDatatype="20" unbalanced="0"/>
    <cacheHierarchy uniqueName="[Housing].[sqft_lot]" caption="sqft_lot" attribute="1" defaultMemberUniqueName="[Housing].[sqft_lot].[All]" allUniqueName="[Housing].[sqft_lot].[All]" dimensionUniqueName="[Housing]" displayFolder="" count="0" memberValueDatatype="20" unbalanced="0"/>
    <cacheHierarchy uniqueName="[Housing].[floors]" caption="floors" attribute="1" defaultMemberUniqueName="[Housing].[floors].[All]" allUniqueName="[Housing].[floors].[All]" dimensionUniqueName="[Housing]" displayFolder="" count="0" memberValueDatatype="5" unbalanced="0"/>
    <cacheHierarchy uniqueName="[Housing].[waterfront]" caption="waterfront" attribute="1" defaultMemberUniqueName="[Housing].[waterfront].[All]" allUniqueName="[Housing].[waterfront].[All]" dimensionUniqueName="[Housing]" displayFolder="" count="0" memberValueDatatype="20" unbalanced="0"/>
    <cacheHierarchy uniqueName="[Housing].[view]" caption="view" attribute="1" defaultMemberUniqueName="[Housing].[view].[All]" allUniqueName="[Housing].[view].[All]" dimensionUniqueName="[Housing]" displayFolder="" count="2" memberValueDatatype="20" unbalanced="0">
      <fieldsUsage count="2">
        <fieldUsage x="-1"/>
        <fieldUsage x="5"/>
      </fieldsUsage>
    </cacheHierarchy>
    <cacheHierarchy uniqueName="[Housing].[condition]" caption="condition" attribute="1" defaultMemberUniqueName="[Housing].[condition].[All]" allUniqueName="[Housing].[condition].[All]" dimensionUniqueName="[Housing]" displayFolder="" count="2" memberValueDatatype="20" unbalanced="0"/>
    <cacheHierarchy uniqueName="[Housing].[sqft_above]" caption="sqft_above" attribute="1" defaultMemberUniqueName="[Housing].[sqft_above].[All]" allUniqueName="[Housing].[sqft_above].[All]" dimensionUniqueName="[Housing]" displayFolder="" count="0" memberValueDatatype="20" unbalanced="0"/>
    <cacheHierarchy uniqueName="[Housing].[sqft_basement]" caption="sqft_basement" attribute="1" defaultMemberUniqueName="[Housing].[sqft_basement].[All]" allUniqueName="[Housing].[sqft_basement].[All]" dimensionUniqueName="[Housing]" displayFolder="" count="0" memberValueDatatype="20" unbalanced="0"/>
    <cacheHierarchy uniqueName="[Housing].[yr_built]" caption="yr_built" attribute="1" defaultMemberUniqueName="[Housing].[yr_built].[All]" allUniqueName="[Housing].[yr_built].[All]" dimensionUniqueName="[Housing]" displayFolder="" count="0" memberValueDatatype="20" unbalanced="0"/>
    <cacheHierarchy uniqueName="[Housing].[yr_renovated]" caption="yr_renovated" attribute="1" defaultMemberUniqueName="[Housing].[yr_renovated].[All]" allUniqueName="[Housing].[yr_renovated].[All]" dimensionUniqueName="[Housing]" displayFolder="" count="0" memberValueDatatype="20" unbalanced="0"/>
    <cacheHierarchy uniqueName="[Housing].[street]" caption="street" attribute="1" defaultMemberUniqueName="[Housing].[street].[All]" allUniqueName="[Housing].[street].[All]" dimensionUniqueName="[Housing]" displayFolder="" count="0" memberValueDatatype="130" unbalanced="0"/>
    <cacheHierarchy uniqueName="[Housing].[city]" caption="city" attribute="1" defaultMemberUniqueName="[Housing].[city].[All]" allUniqueName="[Housing].[city].[All]" dimensionUniqueName="[Housing]" displayFolder="" count="0" memberValueDatatype="130" unbalanced="0"/>
    <cacheHierarchy uniqueName="[Housing].[statezip]" caption="statezip" attribute="1" defaultMemberUniqueName="[Housing].[statezip].[All]" allUniqueName="[Housing].[statezip].[All]" dimensionUniqueName="[Housing]" displayFolder="" count="0" memberValueDatatype="130" unbalanced="0"/>
    <cacheHierarchy uniqueName="[Housing].[price_per_sqft]" caption="price_per_sqft" attribute="1" defaultMemberUniqueName="[Housing].[price_per_sqft].[All]" allUniqueName="[Housing].[price_per_sqft].[All]" dimensionUniqueName="[Housing]" displayFolder="" count="0" memberValueDatatype="5" unbalanced="0"/>
    <cacheHierarchy uniqueName="[Housing].[Renovation Status]" caption="Renovation Status" attribute="1" defaultMemberUniqueName="[Housing].[Renovation Status].[All]" allUniqueName="[Housing].[Renovation Status].[All]" dimensionUniqueName="[Housing]" displayFolder="" count="0" memberValueDatatype="130" unbalanced="0"/>
    <cacheHierarchy uniqueName="[Housing].[Basement Status]" caption="Basement Status" attribute="1" defaultMemberUniqueName="[Housing].[Basement Status].[All]" allUniqueName="[Housing].[Basement Status].[All]" dimensionUniqueName="[Housing]" displayFolder="" count="2" memberValueDatatype="130" unbalanced="0"/>
    <cacheHierarchy uniqueName="[Housing].[Property Age]" caption="Property Age" attribute="1" defaultMemberUniqueName="[Housing].[Property Age].[All]" allUniqueName="[Housing].[Property Age].[All]" dimensionUniqueName="[Housing]" displayFolder="" count="0" memberValueDatatype="130" unbalanced="0"/>
    <cacheHierarchy uniqueName="[Housing].[Property Age Band]" caption="Property Age Band" attribute="1" defaultMemberUniqueName="[Housing].[Property Age Band].[All]" allUniqueName="[Housing].[Property Age Band].[All]" dimensionUniqueName="[Housing]" displayFolder="" count="0" memberValueDatatype="130" unbalanced="0"/>
    <cacheHierarchy uniqueName="[Housing].[Living Area Band]" caption="Living Area Band" attribute="1" defaultMemberUniqueName="[Housing].[Living Area Band].[All]" allUniqueName="[Housing].[Living Area Band].[All]" dimensionUniqueName="[Housing]" displayFolder="" count="0" memberValueDatatype="130" unbalanced="0"/>
    <cacheHierarchy uniqueName="[Housing].[Waterfront Status]" caption="Waterfront Status" attribute="1" defaultMemberUniqueName="[Housing].[Waterfront Status].[All]" allUniqueName="[Housing].[Waterfront Status].[All]" dimensionUniqueName="[Housing]" displayFolder="" count="0" memberValueDatatype="130" unbalanced="0"/>
    <cacheHierarchy uniqueName="[Measures].[Number of Properties]" caption="Number of Properties" measure="1" displayFolder="" measureGroup="Housing" count="0" oneField="1">
      <fieldsUsage count="1">
        <fieldUsage x="0"/>
      </fieldsUsage>
    </cacheHierarchy>
    <cacheHierarchy uniqueName="[Measures].[Total Property Value]" caption="Total Property Value" measure="1" displayFolder="" measureGroup="Housing" count="0" oneField="1">
      <fieldsUsage count="1">
        <fieldUsage x="1"/>
      </fieldsUsage>
    </cacheHierarchy>
    <cacheHierarchy uniqueName="[Measures].[Average Price]" caption="Average Price" measure="1" displayFolder="" measureGroup="Housing" count="0" oneField="1">
      <fieldsUsage count="1">
        <fieldUsage x="2"/>
      </fieldsUsage>
    </cacheHierarchy>
    <cacheHierarchy uniqueName="[Measures].[Median Price]" caption="Median Price" measure="1" displayFolder="" measureGroup="Housing" count="0" oneField="1">
      <fieldsUsage count="1">
        <fieldUsage x="3"/>
      </fieldsUsage>
    </cacheHierarchy>
    <cacheHierarchy uniqueName="[Measures].[Average Price Per Sqft]" caption="Average Price Per Sqft" measure="1" displayFolder="" measureGroup="Housing" count="0" oneField="1">
      <fieldsUsage count="1">
        <fieldUsage x="4"/>
      </fieldsUsage>
    </cacheHierarchy>
    <cacheHierarchy uniqueName="[Measures].[__XL_Count Housing]" caption="__XL_Count Housing" measure="1" displayFolder="" measureGroup="Housing" count="0" hidden="1"/>
    <cacheHierarchy uniqueName="[Measures].[__No measures defined]" caption="__No measures defined" measure="1" displayFolder="" count="0" hidden="1"/>
    <cacheHierarchy uniqueName="[Measures].[Sum of bedrooms]" caption="Sum of bedrooms" measure="1" displayFolder="" measureGroup="Housing" count="0" hidden="1">
      <extLst>
        <ext xmlns:x15="http://schemas.microsoft.com/office/spreadsheetml/2010/11/main" uri="{B97F6D7D-B522-45F9-BDA1-12C45D357490}">
          <x15:cacheHierarchy aggregatedColumn="2"/>
        </ext>
      </extLst>
    </cacheHierarchy>
    <cacheHierarchy uniqueName="[Measures].[Sum of view]" caption="Sum of view" measure="1" displayFolder="" measureGroup="Housing" count="0" hidden="1">
      <extLst>
        <ext xmlns:x15="http://schemas.microsoft.com/office/spreadsheetml/2010/11/main" uri="{B97F6D7D-B522-45F9-BDA1-12C45D357490}">
          <x15:cacheHierarchy aggregatedColumn="8"/>
        </ext>
      </extLst>
    </cacheHierarchy>
  </cacheHierarchies>
  <kpis count="0"/>
  <dimensions count="2">
    <dimension name="Housing" uniqueName="[Housing]" caption="Housing"/>
    <dimension measure="1" name="Measures" uniqueName="[Measures]" caption="Measures"/>
  </dimensions>
  <measureGroups count="1">
    <measureGroup name="Housing" caption="Hous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9.900675694444" createdVersion="5" refreshedVersion="8" minRefreshableVersion="3" recordCount="0" supportSubquery="1" supportAdvancedDrill="1" xr:uid="{86BB77CA-6BEE-4ED9-96FA-7F9ED72C8E7B}">
  <cacheSource type="external" connectionId="2"/>
  <cacheFields count="3">
    <cacheField name="[Housing].[Living Area Band].[Living Area Band]" caption="Living Area Band" numFmtId="0" hierarchy="22" level="1">
      <sharedItems count="9">
        <s v="0 - 499"/>
        <s v="1000 - 1499"/>
        <s v="1500 - 1999"/>
        <s v="2000 - 2499"/>
        <s v="2500 -2999"/>
        <s v="3000 - 3499"/>
        <s v="3500 - 3999"/>
        <s v="4000"/>
        <s v="500 - 999"/>
      </sharedItems>
      <extLst>
        <ext xmlns:x15="http://schemas.microsoft.com/office/spreadsheetml/2010/11/main" uri="{4F2E5C28-24EA-4eb8-9CBF-B6C8F9C3D259}">
          <x15:cachedUniqueNames>
            <x15:cachedUniqueName index="0" name="[Housing].[Living Area Band].&amp;[0 - 499]"/>
            <x15:cachedUniqueName index="1" name="[Housing].[Living Area Band].&amp;[1000 - 1499]"/>
            <x15:cachedUniqueName index="2" name="[Housing].[Living Area Band].&amp;[1500 - 1999]"/>
            <x15:cachedUniqueName index="3" name="[Housing].[Living Area Band].&amp;[2000 - 2499]"/>
            <x15:cachedUniqueName index="4" name="[Housing].[Living Area Band].&amp;[2500 -2999]"/>
            <x15:cachedUniqueName index="5" name="[Housing].[Living Area Band].&amp;[3000 - 3499]"/>
            <x15:cachedUniqueName index="6" name="[Housing].[Living Area Band].&amp;[3500 - 3999]"/>
            <x15:cachedUniqueName index="7" name="[Housing].[Living Area Band].&amp;[4000]"/>
            <x15:cachedUniqueName index="8" name="[Housing].[Living Area Band].&amp;[500 - 999]"/>
          </x15:cachedUniqueNames>
        </ext>
      </extLst>
    </cacheField>
    <cacheField name="[Measures].[Average Price]" caption="Average Price" numFmtId="0" hierarchy="26" level="32767"/>
    <cacheField name="[Housing].[view].[view]" caption="view" numFmtId="0" hierarchy="8" level="1">
      <sharedItems containsSemiMixedTypes="0" containsNonDate="0" containsString="0"/>
    </cacheField>
  </cacheFields>
  <cacheHierarchies count="33">
    <cacheHierarchy uniqueName="[Housing].[date]" caption="date" attribute="1" time="1" defaultMemberUniqueName="[Housing].[date].[All]" allUniqueName="[Housing].[date].[All]" dimensionUniqueName="[Housing]" displayFolder="" count="0" memberValueDatatype="7" unbalanced="0"/>
    <cacheHierarchy uniqueName="[Housing].[price]" caption="price" attribute="1" defaultMemberUniqueName="[Housing].[price].[All]" allUniqueName="[Housing].[price].[All]" dimensionUniqueName="[Housing]" displayFolder="" count="0" memberValueDatatype="20" unbalanced="0"/>
    <cacheHierarchy uniqueName="[Housing].[bedrooms]" caption="bedrooms" attribute="1" defaultMemberUniqueName="[Housing].[bedrooms].[All]" allUniqueName="[Housing].[bedrooms].[All]" dimensionUniqueName="[Housing]" displayFolder="" count="0" memberValueDatatype="20" unbalanced="0"/>
    <cacheHierarchy uniqueName="[Housing].[bathrooms]" caption="bathrooms" attribute="1" defaultMemberUniqueName="[Housing].[bathrooms].[All]" allUniqueName="[Housing].[bathrooms].[All]" dimensionUniqueName="[Housing]" displayFolder="" count="0" memberValueDatatype="5" unbalanced="0"/>
    <cacheHierarchy uniqueName="[Housing].[sqft_living]" caption="sqft_living" attribute="1" defaultMemberUniqueName="[Housing].[sqft_living].[All]" allUniqueName="[Housing].[sqft_living].[All]" dimensionUniqueName="[Housing]" displayFolder="" count="0" memberValueDatatype="20" unbalanced="0"/>
    <cacheHierarchy uniqueName="[Housing].[sqft_lot]" caption="sqft_lot" attribute="1" defaultMemberUniqueName="[Housing].[sqft_lot].[All]" allUniqueName="[Housing].[sqft_lot].[All]" dimensionUniqueName="[Housing]" displayFolder="" count="0" memberValueDatatype="20" unbalanced="0"/>
    <cacheHierarchy uniqueName="[Housing].[floors]" caption="floors" attribute="1" defaultMemberUniqueName="[Housing].[floors].[All]" allUniqueName="[Housing].[floors].[All]" dimensionUniqueName="[Housing]" displayFolder="" count="0" memberValueDatatype="5" unbalanced="0"/>
    <cacheHierarchy uniqueName="[Housing].[waterfront]" caption="waterfront" attribute="1" defaultMemberUniqueName="[Housing].[waterfront].[All]" allUniqueName="[Housing].[waterfront].[All]" dimensionUniqueName="[Housing]" displayFolder="" count="0" memberValueDatatype="20" unbalanced="0"/>
    <cacheHierarchy uniqueName="[Housing].[view]" caption="view" attribute="1" defaultMemberUniqueName="[Housing].[view].[All]" allUniqueName="[Housing].[view].[All]" dimensionUniqueName="[Housing]" displayFolder="" count="2" memberValueDatatype="20" unbalanced="0">
      <fieldsUsage count="2">
        <fieldUsage x="-1"/>
        <fieldUsage x="2"/>
      </fieldsUsage>
    </cacheHierarchy>
    <cacheHierarchy uniqueName="[Housing].[condition]" caption="condition" attribute="1" defaultMemberUniqueName="[Housing].[condition].[All]" allUniqueName="[Housing].[condition].[All]" dimensionUniqueName="[Housing]" displayFolder="" count="2" memberValueDatatype="20" unbalanced="0"/>
    <cacheHierarchy uniqueName="[Housing].[sqft_above]" caption="sqft_above" attribute="1" defaultMemberUniqueName="[Housing].[sqft_above].[All]" allUniqueName="[Housing].[sqft_above].[All]" dimensionUniqueName="[Housing]" displayFolder="" count="0" memberValueDatatype="20" unbalanced="0"/>
    <cacheHierarchy uniqueName="[Housing].[sqft_basement]" caption="sqft_basement" attribute="1" defaultMemberUniqueName="[Housing].[sqft_basement].[All]" allUniqueName="[Housing].[sqft_basement].[All]" dimensionUniqueName="[Housing]" displayFolder="" count="0" memberValueDatatype="20" unbalanced="0"/>
    <cacheHierarchy uniqueName="[Housing].[yr_built]" caption="yr_built" attribute="1" defaultMemberUniqueName="[Housing].[yr_built].[All]" allUniqueName="[Housing].[yr_built].[All]" dimensionUniqueName="[Housing]" displayFolder="" count="0" memberValueDatatype="20" unbalanced="0"/>
    <cacheHierarchy uniqueName="[Housing].[yr_renovated]" caption="yr_renovated" attribute="1" defaultMemberUniqueName="[Housing].[yr_renovated].[All]" allUniqueName="[Housing].[yr_renovated].[All]" dimensionUniqueName="[Housing]" displayFolder="" count="0" memberValueDatatype="20" unbalanced="0"/>
    <cacheHierarchy uniqueName="[Housing].[street]" caption="street" attribute="1" defaultMemberUniqueName="[Housing].[street].[All]" allUniqueName="[Housing].[street].[All]" dimensionUniqueName="[Housing]" displayFolder="" count="0" memberValueDatatype="130" unbalanced="0"/>
    <cacheHierarchy uniqueName="[Housing].[city]" caption="city" attribute="1" defaultMemberUniqueName="[Housing].[city].[All]" allUniqueName="[Housing].[city].[All]" dimensionUniqueName="[Housing]" displayFolder="" count="0" memberValueDatatype="130" unbalanced="0"/>
    <cacheHierarchy uniqueName="[Housing].[statezip]" caption="statezip" attribute="1" defaultMemberUniqueName="[Housing].[statezip].[All]" allUniqueName="[Housing].[statezip].[All]" dimensionUniqueName="[Housing]" displayFolder="" count="0" memberValueDatatype="130" unbalanced="0"/>
    <cacheHierarchy uniqueName="[Housing].[price_per_sqft]" caption="price_per_sqft" attribute="1" defaultMemberUniqueName="[Housing].[price_per_sqft].[All]" allUniqueName="[Housing].[price_per_sqft].[All]" dimensionUniqueName="[Housing]" displayFolder="" count="0" memberValueDatatype="5" unbalanced="0"/>
    <cacheHierarchy uniqueName="[Housing].[Renovation Status]" caption="Renovation Status" attribute="1" defaultMemberUniqueName="[Housing].[Renovation Status].[All]" allUniqueName="[Housing].[Renovation Status].[All]" dimensionUniqueName="[Housing]" displayFolder="" count="0" memberValueDatatype="130" unbalanced="0"/>
    <cacheHierarchy uniqueName="[Housing].[Basement Status]" caption="Basement Status" attribute="1" defaultMemberUniqueName="[Housing].[Basement Status].[All]" allUniqueName="[Housing].[Basement Status].[All]" dimensionUniqueName="[Housing]" displayFolder="" count="2" memberValueDatatype="130" unbalanced="0"/>
    <cacheHierarchy uniqueName="[Housing].[Property Age]" caption="Property Age" attribute="1" defaultMemberUniqueName="[Housing].[Property Age].[All]" allUniqueName="[Housing].[Property Age].[All]" dimensionUniqueName="[Housing]" displayFolder="" count="0" memberValueDatatype="130" unbalanced="0"/>
    <cacheHierarchy uniqueName="[Housing].[Property Age Band]" caption="Property Age Band" attribute="1" defaultMemberUniqueName="[Housing].[Property Age Band].[All]" allUniqueName="[Housing].[Property Age Band].[All]" dimensionUniqueName="[Housing]" displayFolder="" count="0" memberValueDatatype="130" unbalanced="0"/>
    <cacheHierarchy uniqueName="[Housing].[Living Area Band]" caption="Living Area Band" attribute="1" defaultMemberUniqueName="[Housing].[Living Area Band].[All]" allUniqueName="[Housing].[Living Area Band].[All]" dimensionUniqueName="[Housing]" displayFolder="" count="2" memberValueDatatype="130" unbalanced="0">
      <fieldsUsage count="2">
        <fieldUsage x="-1"/>
        <fieldUsage x="0"/>
      </fieldsUsage>
    </cacheHierarchy>
    <cacheHierarchy uniqueName="[Housing].[Waterfront Status]" caption="Waterfront Status" attribute="1" defaultMemberUniqueName="[Housing].[Waterfront Status].[All]" allUniqueName="[Housing].[Waterfront Status].[All]" dimensionUniqueName="[Housing]" displayFolder="" count="0" memberValueDatatype="130" unbalanced="0"/>
    <cacheHierarchy uniqueName="[Measures].[Number of Properties]" caption="Number of Properties" measure="1" displayFolder="" measureGroup="Housing" count="0"/>
    <cacheHierarchy uniqueName="[Measures].[Total Property Value]" caption="Total Property Value" measure="1" displayFolder="" measureGroup="Housing" count="0"/>
    <cacheHierarchy uniqueName="[Measures].[Average Price]" caption="Average Price" measure="1" displayFolder="" measureGroup="Housing" count="0" oneField="1">
      <fieldsUsage count="1">
        <fieldUsage x="1"/>
      </fieldsUsage>
    </cacheHierarchy>
    <cacheHierarchy uniqueName="[Measures].[Median Price]" caption="Median Price" measure="1" displayFolder="" measureGroup="Housing" count="0"/>
    <cacheHierarchy uniqueName="[Measures].[Average Price Per Sqft]" caption="Average Price Per Sqft" measure="1" displayFolder="" measureGroup="Housing" count="0"/>
    <cacheHierarchy uniqueName="[Measures].[__XL_Count Housing]" caption="__XL_Count Housing" measure="1" displayFolder="" measureGroup="Housing" count="0" hidden="1"/>
    <cacheHierarchy uniqueName="[Measures].[__No measures defined]" caption="__No measures defined" measure="1" displayFolder="" count="0" hidden="1"/>
    <cacheHierarchy uniqueName="[Measures].[Sum of bedrooms]" caption="Sum of bedrooms" measure="1" displayFolder="" measureGroup="Housing" count="0" hidden="1">
      <extLst>
        <ext xmlns:x15="http://schemas.microsoft.com/office/spreadsheetml/2010/11/main" uri="{B97F6D7D-B522-45F9-BDA1-12C45D357490}">
          <x15:cacheHierarchy aggregatedColumn="2"/>
        </ext>
      </extLst>
    </cacheHierarchy>
    <cacheHierarchy uniqueName="[Measures].[Sum of view]" caption="Sum of view" measure="1" displayFolder="" measureGroup="Housing" count="0" hidden="1">
      <extLst>
        <ext xmlns:x15="http://schemas.microsoft.com/office/spreadsheetml/2010/11/main" uri="{B97F6D7D-B522-45F9-BDA1-12C45D357490}">
          <x15:cacheHierarchy aggregatedColumn="8"/>
        </ext>
      </extLst>
    </cacheHierarchy>
  </cacheHierarchies>
  <kpis count="0"/>
  <dimensions count="2">
    <dimension name="Housing" uniqueName="[Housing]" caption="Housing"/>
    <dimension measure="1" name="Measures" uniqueName="[Measures]" caption="Measures"/>
  </dimensions>
  <measureGroups count="1">
    <measureGroup name="Housing" caption="Hous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9.900676273151" createdVersion="5" refreshedVersion="8" minRefreshableVersion="3" recordCount="0" supportSubquery="1" supportAdvancedDrill="1" xr:uid="{224545DA-BEE8-4C43-8C1D-BC17A469CD39}">
  <cacheSource type="external" connectionId="2"/>
  <cacheFields count="3">
    <cacheField name="[Housing].[bedrooms].[bedrooms]" caption="bedrooms" numFmtId="0" hierarchy="2" level="1">
      <sharedItems containsSemiMixedTypes="0" containsString="0" containsNumber="1" containsInteger="1" minValue="0" maxValue="9" count="10">
        <n v="0"/>
        <n v="1"/>
        <n v="2"/>
        <n v="3"/>
        <n v="4"/>
        <n v="5"/>
        <n v="6"/>
        <n v="7"/>
        <n v="8"/>
        <n v="9"/>
      </sharedItems>
      <extLst>
        <ext xmlns:x15="http://schemas.microsoft.com/office/spreadsheetml/2010/11/main" uri="{4F2E5C28-24EA-4eb8-9CBF-B6C8F9C3D259}">
          <x15:cachedUniqueNames>
            <x15:cachedUniqueName index="0" name="[Housing].[bedrooms].&amp;[0]"/>
            <x15:cachedUniqueName index="1" name="[Housing].[bedrooms].&amp;[1]"/>
            <x15:cachedUniqueName index="2" name="[Housing].[bedrooms].&amp;[2]"/>
            <x15:cachedUniqueName index="3" name="[Housing].[bedrooms].&amp;[3]"/>
            <x15:cachedUniqueName index="4" name="[Housing].[bedrooms].&amp;[4]"/>
            <x15:cachedUniqueName index="5" name="[Housing].[bedrooms].&amp;[5]"/>
            <x15:cachedUniqueName index="6" name="[Housing].[bedrooms].&amp;[6]"/>
            <x15:cachedUniqueName index="7" name="[Housing].[bedrooms].&amp;[7]"/>
            <x15:cachedUniqueName index="8" name="[Housing].[bedrooms].&amp;[8]"/>
            <x15:cachedUniqueName index="9" name="[Housing].[bedrooms].&amp;[9]"/>
          </x15:cachedUniqueNames>
        </ext>
      </extLst>
    </cacheField>
    <cacheField name="[Measures].[Average Price]" caption="Average Price" numFmtId="0" hierarchy="26" level="32767"/>
    <cacheField name="[Housing].[view].[view]" caption="view" numFmtId="0" hierarchy="8" level="1">
      <sharedItems containsSemiMixedTypes="0" containsNonDate="0" containsString="0"/>
    </cacheField>
  </cacheFields>
  <cacheHierarchies count="33">
    <cacheHierarchy uniqueName="[Housing].[date]" caption="date" attribute="1" time="1" defaultMemberUniqueName="[Housing].[date].[All]" allUniqueName="[Housing].[date].[All]" dimensionUniqueName="[Housing]" displayFolder="" count="0" memberValueDatatype="7" unbalanced="0"/>
    <cacheHierarchy uniqueName="[Housing].[price]" caption="price" attribute="1" defaultMemberUniqueName="[Housing].[price].[All]" allUniqueName="[Housing].[price].[All]" dimensionUniqueName="[Housing]" displayFolder="" count="0" memberValueDatatype="20" unbalanced="0"/>
    <cacheHierarchy uniqueName="[Housing].[bedrooms]" caption="bedrooms" attribute="1" defaultMemberUniqueName="[Housing].[bedrooms].[All]" allUniqueName="[Housing].[bedrooms].[All]" dimensionUniqueName="[Housing]" displayFolder="" count="2" memberValueDatatype="20" unbalanced="0">
      <fieldsUsage count="2">
        <fieldUsage x="-1"/>
        <fieldUsage x="0"/>
      </fieldsUsage>
    </cacheHierarchy>
    <cacheHierarchy uniqueName="[Housing].[bathrooms]" caption="bathrooms" attribute="1" defaultMemberUniqueName="[Housing].[bathrooms].[All]" allUniqueName="[Housing].[bathrooms].[All]" dimensionUniqueName="[Housing]" displayFolder="" count="0" memberValueDatatype="5" unbalanced="0"/>
    <cacheHierarchy uniqueName="[Housing].[sqft_living]" caption="sqft_living" attribute="1" defaultMemberUniqueName="[Housing].[sqft_living].[All]" allUniqueName="[Housing].[sqft_living].[All]" dimensionUniqueName="[Housing]" displayFolder="" count="0" memberValueDatatype="20" unbalanced="0"/>
    <cacheHierarchy uniqueName="[Housing].[sqft_lot]" caption="sqft_lot" attribute="1" defaultMemberUniqueName="[Housing].[sqft_lot].[All]" allUniqueName="[Housing].[sqft_lot].[All]" dimensionUniqueName="[Housing]" displayFolder="" count="0" memberValueDatatype="20" unbalanced="0"/>
    <cacheHierarchy uniqueName="[Housing].[floors]" caption="floors" attribute="1" defaultMemberUniqueName="[Housing].[floors].[All]" allUniqueName="[Housing].[floors].[All]" dimensionUniqueName="[Housing]" displayFolder="" count="0" memberValueDatatype="5" unbalanced="0"/>
    <cacheHierarchy uniqueName="[Housing].[waterfront]" caption="waterfront" attribute="1" defaultMemberUniqueName="[Housing].[waterfront].[All]" allUniqueName="[Housing].[waterfront].[All]" dimensionUniqueName="[Housing]" displayFolder="" count="0" memberValueDatatype="20" unbalanced="0"/>
    <cacheHierarchy uniqueName="[Housing].[view]" caption="view" attribute="1" defaultMemberUniqueName="[Housing].[view].[All]" allUniqueName="[Housing].[view].[All]" dimensionUniqueName="[Housing]" displayFolder="" count="2" memberValueDatatype="20" unbalanced="0">
      <fieldsUsage count="2">
        <fieldUsage x="-1"/>
        <fieldUsage x="2"/>
      </fieldsUsage>
    </cacheHierarchy>
    <cacheHierarchy uniqueName="[Housing].[condition]" caption="condition" attribute="1" defaultMemberUniqueName="[Housing].[condition].[All]" allUniqueName="[Housing].[condition].[All]" dimensionUniqueName="[Housing]" displayFolder="" count="2" memberValueDatatype="20" unbalanced="0"/>
    <cacheHierarchy uniqueName="[Housing].[sqft_above]" caption="sqft_above" attribute="1" defaultMemberUniqueName="[Housing].[sqft_above].[All]" allUniqueName="[Housing].[sqft_above].[All]" dimensionUniqueName="[Housing]" displayFolder="" count="0" memberValueDatatype="20" unbalanced="0"/>
    <cacheHierarchy uniqueName="[Housing].[sqft_basement]" caption="sqft_basement" attribute="1" defaultMemberUniqueName="[Housing].[sqft_basement].[All]" allUniqueName="[Housing].[sqft_basement].[All]" dimensionUniqueName="[Housing]" displayFolder="" count="0" memberValueDatatype="20" unbalanced="0"/>
    <cacheHierarchy uniqueName="[Housing].[yr_built]" caption="yr_built" attribute="1" defaultMemberUniqueName="[Housing].[yr_built].[All]" allUniqueName="[Housing].[yr_built].[All]" dimensionUniqueName="[Housing]" displayFolder="" count="0" memberValueDatatype="20" unbalanced="0"/>
    <cacheHierarchy uniqueName="[Housing].[yr_renovated]" caption="yr_renovated" attribute="1" defaultMemberUniqueName="[Housing].[yr_renovated].[All]" allUniqueName="[Housing].[yr_renovated].[All]" dimensionUniqueName="[Housing]" displayFolder="" count="0" memberValueDatatype="20" unbalanced="0"/>
    <cacheHierarchy uniqueName="[Housing].[street]" caption="street" attribute="1" defaultMemberUniqueName="[Housing].[street].[All]" allUniqueName="[Housing].[street].[All]" dimensionUniqueName="[Housing]" displayFolder="" count="0" memberValueDatatype="130" unbalanced="0"/>
    <cacheHierarchy uniqueName="[Housing].[city]" caption="city" attribute="1" defaultMemberUniqueName="[Housing].[city].[All]" allUniqueName="[Housing].[city].[All]" dimensionUniqueName="[Housing]" displayFolder="" count="0" memberValueDatatype="130" unbalanced="0"/>
    <cacheHierarchy uniqueName="[Housing].[statezip]" caption="statezip" attribute="1" defaultMemberUniqueName="[Housing].[statezip].[All]" allUniqueName="[Housing].[statezip].[All]" dimensionUniqueName="[Housing]" displayFolder="" count="0" memberValueDatatype="130" unbalanced="0"/>
    <cacheHierarchy uniqueName="[Housing].[price_per_sqft]" caption="price_per_sqft" attribute="1" defaultMemberUniqueName="[Housing].[price_per_sqft].[All]" allUniqueName="[Housing].[price_per_sqft].[All]" dimensionUniqueName="[Housing]" displayFolder="" count="0" memberValueDatatype="5" unbalanced="0"/>
    <cacheHierarchy uniqueName="[Housing].[Renovation Status]" caption="Renovation Status" attribute="1" defaultMemberUniqueName="[Housing].[Renovation Status].[All]" allUniqueName="[Housing].[Renovation Status].[All]" dimensionUniqueName="[Housing]" displayFolder="" count="0" memberValueDatatype="130" unbalanced="0"/>
    <cacheHierarchy uniqueName="[Housing].[Basement Status]" caption="Basement Status" attribute="1" defaultMemberUniqueName="[Housing].[Basement Status].[All]" allUniqueName="[Housing].[Basement Status].[All]" dimensionUniqueName="[Housing]" displayFolder="" count="2" memberValueDatatype="130" unbalanced="0"/>
    <cacheHierarchy uniqueName="[Housing].[Property Age]" caption="Property Age" attribute="1" defaultMemberUniqueName="[Housing].[Property Age].[All]" allUniqueName="[Housing].[Property Age].[All]" dimensionUniqueName="[Housing]" displayFolder="" count="0" memberValueDatatype="130" unbalanced="0"/>
    <cacheHierarchy uniqueName="[Housing].[Property Age Band]" caption="Property Age Band" attribute="1" defaultMemberUniqueName="[Housing].[Property Age Band].[All]" allUniqueName="[Housing].[Property Age Band].[All]" dimensionUniqueName="[Housing]" displayFolder="" count="0" memberValueDatatype="130" unbalanced="0"/>
    <cacheHierarchy uniqueName="[Housing].[Living Area Band]" caption="Living Area Band" attribute="1" defaultMemberUniqueName="[Housing].[Living Area Band].[All]" allUniqueName="[Housing].[Living Area Band].[All]" dimensionUniqueName="[Housing]" displayFolder="" count="0" memberValueDatatype="130" unbalanced="0"/>
    <cacheHierarchy uniqueName="[Housing].[Waterfront Status]" caption="Waterfront Status" attribute="1" defaultMemberUniqueName="[Housing].[Waterfront Status].[All]" allUniqueName="[Housing].[Waterfront Status].[All]" dimensionUniqueName="[Housing]" displayFolder="" count="0" memberValueDatatype="130" unbalanced="0"/>
    <cacheHierarchy uniqueName="[Measures].[Number of Properties]" caption="Number of Properties" measure="1" displayFolder="" measureGroup="Housing" count="0"/>
    <cacheHierarchy uniqueName="[Measures].[Total Property Value]" caption="Total Property Value" measure="1" displayFolder="" measureGroup="Housing" count="0"/>
    <cacheHierarchy uniqueName="[Measures].[Average Price]" caption="Average Price" measure="1" displayFolder="" measureGroup="Housing" count="0" oneField="1">
      <fieldsUsage count="1">
        <fieldUsage x="1"/>
      </fieldsUsage>
    </cacheHierarchy>
    <cacheHierarchy uniqueName="[Measures].[Median Price]" caption="Median Price" measure="1" displayFolder="" measureGroup="Housing" count="0"/>
    <cacheHierarchy uniqueName="[Measures].[Average Price Per Sqft]" caption="Average Price Per Sqft" measure="1" displayFolder="" measureGroup="Housing" count="0"/>
    <cacheHierarchy uniqueName="[Measures].[__XL_Count Housing]" caption="__XL_Count Housing" measure="1" displayFolder="" measureGroup="Housing" count="0" hidden="1"/>
    <cacheHierarchy uniqueName="[Measures].[__No measures defined]" caption="__No measures defined" measure="1" displayFolder="" count="0" hidden="1"/>
    <cacheHierarchy uniqueName="[Measures].[Sum of bedrooms]" caption="Sum of bedrooms" measure="1" displayFolder="" measureGroup="Housing" count="0" hidden="1">
      <extLst>
        <ext xmlns:x15="http://schemas.microsoft.com/office/spreadsheetml/2010/11/main" uri="{B97F6D7D-B522-45F9-BDA1-12C45D357490}">
          <x15:cacheHierarchy aggregatedColumn="2"/>
        </ext>
      </extLst>
    </cacheHierarchy>
    <cacheHierarchy uniqueName="[Measures].[Sum of view]" caption="Sum of view" measure="1" displayFolder="" measureGroup="Housing" count="0" hidden="1">
      <extLst>
        <ext xmlns:x15="http://schemas.microsoft.com/office/spreadsheetml/2010/11/main" uri="{B97F6D7D-B522-45F9-BDA1-12C45D357490}">
          <x15:cacheHierarchy aggregatedColumn="8"/>
        </ext>
      </extLst>
    </cacheHierarchy>
  </cacheHierarchies>
  <kpis count="0"/>
  <dimensions count="2">
    <dimension name="Housing" uniqueName="[Housing]" caption="Housing"/>
    <dimension measure="1" name="Measures" uniqueName="[Measures]" caption="Measures"/>
  </dimensions>
  <measureGroups count="1">
    <measureGroup name="Housing" caption="Hous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9.900676967591" createdVersion="5" refreshedVersion="8" minRefreshableVersion="3" recordCount="0" supportSubquery="1" supportAdvancedDrill="1" xr:uid="{48C5BAB4-433F-477E-A35C-8781E4FEBAA8}">
  <cacheSource type="external" connectionId="2"/>
  <cacheFields count="3">
    <cacheField name="[Housing].[city].[city]" caption="city" numFmtId="0" hierarchy="15" level="1">
      <sharedItems count="10">
        <s v="Beaux Arts Village"/>
        <s v="Bellevue"/>
        <s v="Clyde Hill"/>
        <s v="Inglewood-Finn Hill"/>
        <s v="Kirkland"/>
        <s v="Medina"/>
        <s v="Mercer Island"/>
        <s v="Redmond"/>
        <s v="Seattle"/>
        <s v="Yarrow Point"/>
      </sharedItems>
      <extLst>
        <ext xmlns:x15="http://schemas.microsoft.com/office/spreadsheetml/2010/11/main" uri="{4F2E5C28-24EA-4eb8-9CBF-B6C8F9C3D259}">
          <x15:cachedUniqueNames>
            <x15:cachedUniqueName index="0" name="[Housing].[city].&amp;[Beaux Arts Village]"/>
            <x15:cachedUniqueName index="1" name="[Housing].[city].&amp;[Bellevue]"/>
            <x15:cachedUniqueName index="2" name="[Housing].[city].&amp;[Clyde Hill]"/>
            <x15:cachedUniqueName index="3" name="[Housing].[city].&amp;[Inglewood-Finn Hill]"/>
            <x15:cachedUniqueName index="4" name="[Housing].[city].&amp;[Kirkland]"/>
            <x15:cachedUniqueName index="5" name="[Housing].[city].&amp;[Medina]"/>
            <x15:cachedUniqueName index="6" name="[Housing].[city].&amp;[Mercer Island]"/>
            <x15:cachedUniqueName index="7" name="[Housing].[city].&amp;[Redmond]"/>
            <x15:cachedUniqueName index="8" name="[Housing].[city].&amp;[Seattle]"/>
            <x15:cachedUniqueName index="9" name="[Housing].[city].&amp;[Yarrow Point]"/>
          </x15:cachedUniqueNames>
        </ext>
      </extLst>
    </cacheField>
    <cacheField name="[Measures].[Average Price Per Sqft]" caption="Average Price Per Sqft" numFmtId="0" hierarchy="28" level="32767"/>
    <cacheField name="[Housing].[view].[view]" caption="view" numFmtId="0" hierarchy="8" level="1">
      <sharedItems containsSemiMixedTypes="0" containsNonDate="0" containsString="0"/>
    </cacheField>
  </cacheFields>
  <cacheHierarchies count="33">
    <cacheHierarchy uniqueName="[Housing].[date]" caption="date" attribute="1" time="1" defaultMemberUniqueName="[Housing].[date].[All]" allUniqueName="[Housing].[date].[All]" dimensionUniqueName="[Housing]" displayFolder="" count="0" memberValueDatatype="7" unbalanced="0"/>
    <cacheHierarchy uniqueName="[Housing].[price]" caption="price" attribute="1" defaultMemberUniqueName="[Housing].[price].[All]" allUniqueName="[Housing].[price].[All]" dimensionUniqueName="[Housing]" displayFolder="" count="0" memberValueDatatype="20" unbalanced="0"/>
    <cacheHierarchy uniqueName="[Housing].[bedrooms]" caption="bedrooms" attribute="1" defaultMemberUniqueName="[Housing].[bedrooms].[All]" allUniqueName="[Housing].[bedrooms].[All]" dimensionUniqueName="[Housing]" displayFolder="" count="0" memberValueDatatype="20" unbalanced="0"/>
    <cacheHierarchy uniqueName="[Housing].[bathrooms]" caption="bathrooms" attribute="1" defaultMemberUniqueName="[Housing].[bathrooms].[All]" allUniqueName="[Housing].[bathrooms].[All]" dimensionUniqueName="[Housing]" displayFolder="" count="0" memberValueDatatype="5" unbalanced="0"/>
    <cacheHierarchy uniqueName="[Housing].[sqft_living]" caption="sqft_living" attribute="1" defaultMemberUniqueName="[Housing].[sqft_living].[All]" allUniqueName="[Housing].[sqft_living].[All]" dimensionUniqueName="[Housing]" displayFolder="" count="0" memberValueDatatype="20" unbalanced="0"/>
    <cacheHierarchy uniqueName="[Housing].[sqft_lot]" caption="sqft_lot" attribute="1" defaultMemberUniqueName="[Housing].[sqft_lot].[All]" allUniqueName="[Housing].[sqft_lot].[All]" dimensionUniqueName="[Housing]" displayFolder="" count="0" memberValueDatatype="20" unbalanced="0"/>
    <cacheHierarchy uniqueName="[Housing].[floors]" caption="floors" attribute="1" defaultMemberUniqueName="[Housing].[floors].[All]" allUniqueName="[Housing].[floors].[All]" dimensionUniqueName="[Housing]" displayFolder="" count="0" memberValueDatatype="5" unbalanced="0"/>
    <cacheHierarchy uniqueName="[Housing].[waterfront]" caption="waterfront" attribute="1" defaultMemberUniqueName="[Housing].[waterfront].[All]" allUniqueName="[Housing].[waterfront].[All]" dimensionUniqueName="[Housing]" displayFolder="" count="0" memberValueDatatype="20" unbalanced="0"/>
    <cacheHierarchy uniqueName="[Housing].[view]" caption="view" attribute="1" defaultMemberUniqueName="[Housing].[view].[All]" allUniqueName="[Housing].[view].[All]" dimensionUniqueName="[Housing]" displayFolder="" count="2" memberValueDatatype="20" unbalanced="0">
      <fieldsUsage count="2">
        <fieldUsage x="-1"/>
        <fieldUsage x="2"/>
      </fieldsUsage>
    </cacheHierarchy>
    <cacheHierarchy uniqueName="[Housing].[condition]" caption="condition" attribute="1" defaultMemberUniqueName="[Housing].[condition].[All]" allUniqueName="[Housing].[condition].[All]" dimensionUniqueName="[Housing]" displayFolder="" count="2" memberValueDatatype="20" unbalanced="0"/>
    <cacheHierarchy uniqueName="[Housing].[sqft_above]" caption="sqft_above" attribute="1" defaultMemberUniqueName="[Housing].[sqft_above].[All]" allUniqueName="[Housing].[sqft_above].[All]" dimensionUniqueName="[Housing]" displayFolder="" count="0" memberValueDatatype="20" unbalanced="0"/>
    <cacheHierarchy uniqueName="[Housing].[sqft_basement]" caption="sqft_basement" attribute="1" defaultMemberUniqueName="[Housing].[sqft_basement].[All]" allUniqueName="[Housing].[sqft_basement].[All]" dimensionUniqueName="[Housing]" displayFolder="" count="0" memberValueDatatype="20" unbalanced="0"/>
    <cacheHierarchy uniqueName="[Housing].[yr_built]" caption="yr_built" attribute="1" defaultMemberUniqueName="[Housing].[yr_built].[All]" allUniqueName="[Housing].[yr_built].[All]" dimensionUniqueName="[Housing]" displayFolder="" count="0" memberValueDatatype="20" unbalanced="0"/>
    <cacheHierarchy uniqueName="[Housing].[yr_renovated]" caption="yr_renovated" attribute="1" defaultMemberUniqueName="[Housing].[yr_renovated].[All]" allUniqueName="[Housing].[yr_renovated].[All]" dimensionUniqueName="[Housing]" displayFolder="" count="0" memberValueDatatype="20" unbalanced="0"/>
    <cacheHierarchy uniqueName="[Housing].[street]" caption="street" attribute="1" defaultMemberUniqueName="[Housing].[street].[All]" allUniqueName="[Housing].[street].[All]" dimensionUniqueName="[Housing]" displayFolder="" count="0" memberValueDatatype="130" unbalanced="0"/>
    <cacheHierarchy uniqueName="[Housing].[city]" caption="city" attribute="1" defaultMemberUniqueName="[Housing].[city].[All]" allUniqueName="[Housing].[city].[All]" dimensionUniqueName="[Housing]" displayFolder="" count="2" memberValueDatatype="130" unbalanced="0">
      <fieldsUsage count="2">
        <fieldUsage x="-1"/>
        <fieldUsage x="0"/>
      </fieldsUsage>
    </cacheHierarchy>
    <cacheHierarchy uniqueName="[Housing].[statezip]" caption="statezip" attribute="1" defaultMemberUniqueName="[Housing].[statezip].[All]" allUniqueName="[Housing].[statezip].[All]" dimensionUniqueName="[Housing]" displayFolder="" count="0" memberValueDatatype="130" unbalanced="0"/>
    <cacheHierarchy uniqueName="[Housing].[price_per_sqft]" caption="price_per_sqft" attribute="1" defaultMemberUniqueName="[Housing].[price_per_sqft].[All]" allUniqueName="[Housing].[price_per_sqft].[All]" dimensionUniqueName="[Housing]" displayFolder="" count="0" memberValueDatatype="5" unbalanced="0"/>
    <cacheHierarchy uniqueName="[Housing].[Renovation Status]" caption="Renovation Status" attribute="1" defaultMemberUniqueName="[Housing].[Renovation Status].[All]" allUniqueName="[Housing].[Renovation Status].[All]" dimensionUniqueName="[Housing]" displayFolder="" count="0" memberValueDatatype="130" unbalanced="0"/>
    <cacheHierarchy uniqueName="[Housing].[Basement Status]" caption="Basement Status" attribute="1" defaultMemberUniqueName="[Housing].[Basement Status].[All]" allUniqueName="[Housing].[Basement Status].[All]" dimensionUniqueName="[Housing]" displayFolder="" count="2" memberValueDatatype="130" unbalanced="0"/>
    <cacheHierarchy uniqueName="[Housing].[Property Age]" caption="Property Age" attribute="1" defaultMemberUniqueName="[Housing].[Property Age].[All]" allUniqueName="[Housing].[Property Age].[All]" dimensionUniqueName="[Housing]" displayFolder="" count="0" memberValueDatatype="130" unbalanced="0"/>
    <cacheHierarchy uniqueName="[Housing].[Property Age Band]" caption="Property Age Band" attribute="1" defaultMemberUniqueName="[Housing].[Property Age Band].[All]" allUniqueName="[Housing].[Property Age Band].[All]" dimensionUniqueName="[Housing]" displayFolder="" count="0" memberValueDatatype="130" unbalanced="0"/>
    <cacheHierarchy uniqueName="[Housing].[Living Area Band]" caption="Living Area Band" attribute="1" defaultMemberUniqueName="[Housing].[Living Area Band].[All]" allUniqueName="[Housing].[Living Area Band].[All]" dimensionUniqueName="[Housing]" displayFolder="" count="0" memberValueDatatype="130" unbalanced="0"/>
    <cacheHierarchy uniqueName="[Housing].[Waterfront Status]" caption="Waterfront Status" attribute="1" defaultMemberUniqueName="[Housing].[Waterfront Status].[All]" allUniqueName="[Housing].[Waterfront Status].[All]" dimensionUniqueName="[Housing]" displayFolder="" count="0" memberValueDatatype="130" unbalanced="0"/>
    <cacheHierarchy uniqueName="[Measures].[Number of Properties]" caption="Number of Properties" measure="1" displayFolder="" measureGroup="Housing" count="0"/>
    <cacheHierarchy uniqueName="[Measures].[Total Property Value]" caption="Total Property Value" measure="1" displayFolder="" measureGroup="Housing" count="0"/>
    <cacheHierarchy uniqueName="[Measures].[Average Price]" caption="Average Price" measure="1" displayFolder="" measureGroup="Housing" count="0"/>
    <cacheHierarchy uniqueName="[Measures].[Median Price]" caption="Median Price" measure="1" displayFolder="" measureGroup="Housing" count="0"/>
    <cacheHierarchy uniqueName="[Measures].[Average Price Per Sqft]" caption="Average Price Per Sqft" measure="1" displayFolder="" measureGroup="Housing" count="0" oneField="1">
      <fieldsUsage count="1">
        <fieldUsage x="1"/>
      </fieldsUsage>
    </cacheHierarchy>
    <cacheHierarchy uniqueName="[Measures].[__XL_Count Housing]" caption="__XL_Count Housing" measure="1" displayFolder="" measureGroup="Housing" count="0" hidden="1"/>
    <cacheHierarchy uniqueName="[Measures].[__No measures defined]" caption="__No measures defined" measure="1" displayFolder="" count="0" hidden="1"/>
    <cacheHierarchy uniqueName="[Measures].[Sum of bedrooms]" caption="Sum of bedrooms" measure="1" displayFolder="" measureGroup="Housing" count="0" hidden="1">
      <extLst>
        <ext xmlns:x15="http://schemas.microsoft.com/office/spreadsheetml/2010/11/main" uri="{B97F6D7D-B522-45F9-BDA1-12C45D357490}">
          <x15:cacheHierarchy aggregatedColumn="2"/>
        </ext>
      </extLst>
    </cacheHierarchy>
    <cacheHierarchy uniqueName="[Measures].[Sum of view]" caption="Sum of view" measure="1" displayFolder="" measureGroup="Housing" count="0" hidden="1">
      <extLst>
        <ext xmlns:x15="http://schemas.microsoft.com/office/spreadsheetml/2010/11/main" uri="{B97F6D7D-B522-45F9-BDA1-12C45D357490}">
          <x15:cacheHierarchy aggregatedColumn="8"/>
        </ext>
      </extLst>
    </cacheHierarchy>
  </cacheHierarchies>
  <kpis count="0"/>
  <dimensions count="2">
    <dimension name="Housing" uniqueName="[Housing]" caption="Housing"/>
    <dimension measure="1" name="Measures" uniqueName="[Measures]" caption="Measures"/>
  </dimensions>
  <measureGroups count="1">
    <measureGroup name="Housing" caption="Hous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9.900677430553" createdVersion="5" refreshedVersion="8" minRefreshableVersion="3" recordCount="0" supportSubquery="1" supportAdvancedDrill="1" xr:uid="{52BC2364-3153-4E3A-A868-D2ACF9B3DAAB}">
  <cacheSource type="external" connectionId="2"/>
  <cacheFields count="3">
    <cacheField name="[Housing].[Waterfront Status].[Waterfront Status]" caption="Waterfront Status" numFmtId="0" hierarchy="23" level="1">
      <sharedItems count="2">
        <s v="Has Waterfront"/>
        <s v="No Waterfront"/>
      </sharedItems>
      <extLst>
        <ext xmlns:x15="http://schemas.microsoft.com/office/spreadsheetml/2010/11/main" uri="{4F2E5C28-24EA-4eb8-9CBF-B6C8F9C3D259}">
          <x15:cachedUniqueNames>
            <x15:cachedUniqueName index="0" name="[Housing].[Waterfront Status].&amp;[Has Waterfront]"/>
            <x15:cachedUniqueName index="1" name="[Housing].[Waterfront Status].&amp;[No Waterfront]"/>
          </x15:cachedUniqueNames>
        </ext>
      </extLst>
    </cacheField>
    <cacheField name="[Measures].[Average Price]" caption="Average Price" numFmtId="0" hierarchy="26" level="32767"/>
    <cacheField name="[Housing].[view].[view]" caption="view" numFmtId="0" hierarchy="8" level="1">
      <sharedItems containsSemiMixedTypes="0" containsNonDate="0" containsString="0"/>
    </cacheField>
  </cacheFields>
  <cacheHierarchies count="33">
    <cacheHierarchy uniqueName="[Housing].[date]" caption="date" attribute="1" time="1" defaultMemberUniqueName="[Housing].[date].[All]" allUniqueName="[Housing].[date].[All]" dimensionUniqueName="[Housing]" displayFolder="" count="0" memberValueDatatype="7" unbalanced="0"/>
    <cacheHierarchy uniqueName="[Housing].[price]" caption="price" attribute="1" defaultMemberUniqueName="[Housing].[price].[All]" allUniqueName="[Housing].[price].[All]" dimensionUniqueName="[Housing]" displayFolder="" count="0" memberValueDatatype="20" unbalanced="0"/>
    <cacheHierarchy uniqueName="[Housing].[bedrooms]" caption="bedrooms" attribute="1" defaultMemberUniqueName="[Housing].[bedrooms].[All]" allUniqueName="[Housing].[bedrooms].[All]" dimensionUniqueName="[Housing]" displayFolder="" count="0" memberValueDatatype="20" unbalanced="0"/>
    <cacheHierarchy uniqueName="[Housing].[bathrooms]" caption="bathrooms" attribute="1" defaultMemberUniqueName="[Housing].[bathrooms].[All]" allUniqueName="[Housing].[bathrooms].[All]" dimensionUniqueName="[Housing]" displayFolder="" count="0" memberValueDatatype="5" unbalanced="0"/>
    <cacheHierarchy uniqueName="[Housing].[sqft_living]" caption="sqft_living" attribute="1" defaultMemberUniqueName="[Housing].[sqft_living].[All]" allUniqueName="[Housing].[sqft_living].[All]" dimensionUniqueName="[Housing]" displayFolder="" count="0" memberValueDatatype="20" unbalanced="0"/>
    <cacheHierarchy uniqueName="[Housing].[sqft_lot]" caption="sqft_lot" attribute="1" defaultMemberUniqueName="[Housing].[sqft_lot].[All]" allUniqueName="[Housing].[sqft_lot].[All]" dimensionUniqueName="[Housing]" displayFolder="" count="0" memberValueDatatype="20" unbalanced="0"/>
    <cacheHierarchy uniqueName="[Housing].[floors]" caption="floors" attribute="1" defaultMemberUniqueName="[Housing].[floors].[All]" allUniqueName="[Housing].[floors].[All]" dimensionUniqueName="[Housing]" displayFolder="" count="0" memberValueDatatype="5" unbalanced="0"/>
    <cacheHierarchy uniqueName="[Housing].[waterfront]" caption="waterfront" attribute="1" defaultMemberUniqueName="[Housing].[waterfront].[All]" allUniqueName="[Housing].[waterfront].[All]" dimensionUniqueName="[Housing]" displayFolder="" count="0" memberValueDatatype="20" unbalanced="0"/>
    <cacheHierarchy uniqueName="[Housing].[view]" caption="view" attribute="1" defaultMemberUniqueName="[Housing].[view].[All]" allUniqueName="[Housing].[view].[All]" dimensionUniqueName="[Housing]" displayFolder="" count="2" memberValueDatatype="20" unbalanced="0">
      <fieldsUsage count="2">
        <fieldUsage x="-1"/>
        <fieldUsage x="2"/>
      </fieldsUsage>
    </cacheHierarchy>
    <cacheHierarchy uniqueName="[Housing].[condition]" caption="condition" attribute="1" defaultMemberUniqueName="[Housing].[condition].[All]" allUniqueName="[Housing].[condition].[All]" dimensionUniqueName="[Housing]" displayFolder="" count="2" memberValueDatatype="20" unbalanced="0"/>
    <cacheHierarchy uniqueName="[Housing].[sqft_above]" caption="sqft_above" attribute="1" defaultMemberUniqueName="[Housing].[sqft_above].[All]" allUniqueName="[Housing].[sqft_above].[All]" dimensionUniqueName="[Housing]" displayFolder="" count="0" memberValueDatatype="20" unbalanced="0"/>
    <cacheHierarchy uniqueName="[Housing].[sqft_basement]" caption="sqft_basement" attribute="1" defaultMemberUniqueName="[Housing].[sqft_basement].[All]" allUniqueName="[Housing].[sqft_basement].[All]" dimensionUniqueName="[Housing]" displayFolder="" count="0" memberValueDatatype="20" unbalanced="0"/>
    <cacheHierarchy uniqueName="[Housing].[yr_built]" caption="yr_built" attribute="1" defaultMemberUniqueName="[Housing].[yr_built].[All]" allUniqueName="[Housing].[yr_built].[All]" dimensionUniqueName="[Housing]" displayFolder="" count="0" memberValueDatatype="20" unbalanced="0"/>
    <cacheHierarchy uniqueName="[Housing].[yr_renovated]" caption="yr_renovated" attribute="1" defaultMemberUniqueName="[Housing].[yr_renovated].[All]" allUniqueName="[Housing].[yr_renovated].[All]" dimensionUniqueName="[Housing]" displayFolder="" count="0" memberValueDatatype="20" unbalanced="0"/>
    <cacheHierarchy uniqueName="[Housing].[street]" caption="street" attribute="1" defaultMemberUniqueName="[Housing].[street].[All]" allUniqueName="[Housing].[street].[All]" dimensionUniqueName="[Housing]" displayFolder="" count="0" memberValueDatatype="130" unbalanced="0"/>
    <cacheHierarchy uniqueName="[Housing].[city]" caption="city" attribute="1" defaultMemberUniqueName="[Housing].[city].[All]" allUniqueName="[Housing].[city].[All]" dimensionUniqueName="[Housing]" displayFolder="" count="0" memberValueDatatype="130" unbalanced="0"/>
    <cacheHierarchy uniqueName="[Housing].[statezip]" caption="statezip" attribute="1" defaultMemberUniqueName="[Housing].[statezip].[All]" allUniqueName="[Housing].[statezip].[All]" dimensionUniqueName="[Housing]" displayFolder="" count="0" memberValueDatatype="130" unbalanced="0"/>
    <cacheHierarchy uniqueName="[Housing].[price_per_sqft]" caption="price_per_sqft" attribute="1" defaultMemberUniqueName="[Housing].[price_per_sqft].[All]" allUniqueName="[Housing].[price_per_sqft].[All]" dimensionUniqueName="[Housing]" displayFolder="" count="0" memberValueDatatype="5" unbalanced="0"/>
    <cacheHierarchy uniqueName="[Housing].[Renovation Status]" caption="Renovation Status" attribute="1" defaultMemberUniqueName="[Housing].[Renovation Status].[All]" allUniqueName="[Housing].[Renovation Status].[All]" dimensionUniqueName="[Housing]" displayFolder="" count="0" memberValueDatatype="130" unbalanced="0"/>
    <cacheHierarchy uniqueName="[Housing].[Basement Status]" caption="Basement Status" attribute="1" defaultMemberUniqueName="[Housing].[Basement Status].[All]" allUniqueName="[Housing].[Basement Status].[All]" dimensionUniqueName="[Housing]" displayFolder="" count="2" memberValueDatatype="130" unbalanced="0"/>
    <cacheHierarchy uniqueName="[Housing].[Property Age]" caption="Property Age" attribute="1" defaultMemberUniqueName="[Housing].[Property Age].[All]" allUniqueName="[Housing].[Property Age].[All]" dimensionUniqueName="[Housing]" displayFolder="" count="0" memberValueDatatype="130" unbalanced="0"/>
    <cacheHierarchy uniqueName="[Housing].[Property Age Band]" caption="Property Age Band" attribute="1" defaultMemberUniqueName="[Housing].[Property Age Band].[All]" allUniqueName="[Housing].[Property Age Band].[All]" dimensionUniqueName="[Housing]" displayFolder="" count="0" memberValueDatatype="130" unbalanced="0"/>
    <cacheHierarchy uniqueName="[Housing].[Living Area Band]" caption="Living Area Band" attribute="1" defaultMemberUniqueName="[Housing].[Living Area Band].[All]" allUniqueName="[Housing].[Living Area Band].[All]" dimensionUniqueName="[Housing]" displayFolder="" count="0" memberValueDatatype="130" unbalanced="0"/>
    <cacheHierarchy uniqueName="[Housing].[Waterfront Status]" caption="Waterfront Status" attribute="1" defaultMemberUniqueName="[Housing].[Waterfront Status].[All]" allUniqueName="[Housing].[Waterfront Status].[All]" dimensionUniqueName="[Housing]" displayFolder="" count="2" memberValueDatatype="130" unbalanced="0">
      <fieldsUsage count="2">
        <fieldUsage x="-1"/>
        <fieldUsage x="0"/>
      </fieldsUsage>
    </cacheHierarchy>
    <cacheHierarchy uniqueName="[Measures].[Number of Properties]" caption="Number of Properties" measure="1" displayFolder="" measureGroup="Housing" count="0"/>
    <cacheHierarchy uniqueName="[Measures].[Total Property Value]" caption="Total Property Value" measure="1" displayFolder="" measureGroup="Housing" count="0"/>
    <cacheHierarchy uniqueName="[Measures].[Average Price]" caption="Average Price" measure="1" displayFolder="" measureGroup="Housing" count="0" oneField="1">
      <fieldsUsage count="1">
        <fieldUsage x="1"/>
      </fieldsUsage>
    </cacheHierarchy>
    <cacheHierarchy uniqueName="[Measures].[Median Price]" caption="Median Price" measure="1" displayFolder="" measureGroup="Housing" count="0"/>
    <cacheHierarchy uniqueName="[Measures].[Average Price Per Sqft]" caption="Average Price Per Sqft" measure="1" displayFolder="" measureGroup="Housing" count="0"/>
    <cacheHierarchy uniqueName="[Measures].[__XL_Count Housing]" caption="__XL_Count Housing" measure="1" displayFolder="" measureGroup="Housing" count="0" hidden="1"/>
    <cacheHierarchy uniqueName="[Measures].[__No measures defined]" caption="__No measures defined" measure="1" displayFolder="" count="0" hidden="1"/>
    <cacheHierarchy uniqueName="[Measures].[Sum of bedrooms]" caption="Sum of bedrooms" measure="1" displayFolder="" measureGroup="Housing" count="0" hidden="1">
      <extLst>
        <ext xmlns:x15="http://schemas.microsoft.com/office/spreadsheetml/2010/11/main" uri="{B97F6D7D-B522-45F9-BDA1-12C45D357490}">
          <x15:cacheHierarchy aggregatedColumn="2"/>
        </ext>
      </extLst>
    </cacheHierarchy>
    <cacheHierarchy uniqueName="[Measures].[Sum of view]" caption="Sum of view" measure="1" displayFolder="" measureGroup="Housing" count="0" hidden="1">
      <extLst>
        <ext xmlns:x15="http://schemas.microsoft.com/office/spreadsheetml/2010/11/main" uri="{B97F6D7D-B522-45F9-BDA1-12C45D357490}">
          <x15:cacheHierarchy aggregatedColumn="8"/>
        </ext>
      </extLst>
    </cacheHierarchy>
  </cacheHierarchies>
  <kpis count="0"/>
  <dimensions count="2">
    <dimension name="Housing" uniqueName="[Housing]" caption="Housing"/>
    <dimension measure="1" name="Measures" uniqueName="[Measures]" caption="Measures"/>
  </dimensions>
  <measureGroups count="1">
    <measureGroup name="Housing" caption="Hous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9.900677777776" createdVersion="5" refreshedVersion="8" minRefreshableVersion="3" recordCount="0" supportSubquery="1" supportAdvancedDrill="1" xr:uid="{BBE56716-C905-4ED0-835C-4C88D7CE37FE}">
  <cacheSource type="external" connectionId="2"/>
  <cacheFields count="3">
    <cacheField name="[Housing].[Renovation Status].[Renovation Status]" caption="Renovation Status" numFmtId="0" hierarchy="18" level="1">
      <sharedItems count="2">
        <s v="No Renovation"/>
        <s v="Renovated"/>
      </sharedItems>
      <extLst>
        <ext xmlns:x15="http://schemas.microsoft.com/office/spreadsheetml/2010/11/main" uri="{4F2E5C28-24EA-4eb8-9CBF-B6C8F9C3D259}">
          <x15:cachedUniqueNames>
            <x15:cachedUniqueName index="0" name="[Housing].[Renovation Status].&amp;[No Renovation]"/>
            <x15:cachedUniqueName index="1" name="[Housing].[Renovation Status].&amp;[Renovated]"/>
          </x15:cachedUniqueNames>
        </ext>
      </extLst>
    </cacheField>
    <cacheField name="[Measures].[Average Price]" caption="Average Price" numFmtId="0" hierarchy="26" level="32767"/>
    <cacheField name="[Housing].[view].[view]" caption="view" numFmtId="0" hierarchy="8" level="1">
      <sharedItems containsSemiMixedTypes="0" containsNonDate="0" containsString="0"/>
    </cacheField>
  </cacheFields>
  <cacheHierarchies count="33">
    <cacheHierarchy uniqueName="[Housing].[date]" caption="date" attribute="1" time="1" defaultMemberUniqueName="[Housing].[date].[All]" allUniqueName="[Housing].[date].[All]" dimensionUniqueName="[Housing]" displayFolder="" count="0" memberValueDatatype="7" unbalanced="0"/>
    <cacheHierarchy uniqueName="[Housing].[price]" caption="price" attribute="1" defaultMemberUniqueName="[Housing].[price].[All]" allUniqueName="[Housing].[price].[All]" dimensionUniqueName="[Housing]" displayFolder="" count="0" memberValueDatatype="20" unbalanced="0"/>
    <cacheHierarchy uniqueName="[Housing].[bedrooms]" caption="bedrooms" attribute="1" defaultMemberUniqueName="[Housing].[bedrooms].[All]" allUniqueName="[Housing].[bedrooms].[All]" dimensionUniqueName="[Housing]" displayFolder="" count="0" memberValueDatatype="20" unbalanced="0"/>
    <cacheHierarchy uniqueName="[Housing].[bathrooms]" caption="bathrooms" attribute="1" defaultMemberUniqueName="[Housing].[bathrooms].[All]" allUniqueName="[Housing].[bathrooms].[All]" dimensionUniqueName="[Housing]" displayFolder="" count="0" memberValueDatatype="5" unbalanced="0"/>
    <cacheHierarchy uniqueName="[Housing].[sqft_living]" caption="sqft_living" attribute="1" defaultMemberUniqueName="[Housing].[sqft_living].[All]" allUniqueName="[Housing].[sqft_living].[All]" dimensionUniqueName="[Housing]" displayFolder="" count="0" memberValueDatatype="20" unbalanced="0"/>
    <cacheHierarchy uniqueName="[Housing].[sqft_lot]" caption="sqft_lot" attribute="1" defaultMemberUniqueName="[Housing].[sqft_lot].[All]" allUniqueName="[Housing].[sqft_lot].[All]" dimensionUniqueName="[Housing]" displayFolder="" count="0" memberValueDatatype="20" unbalanced="0"/>
    <cacheHierarchy uniqueName="[Housing].[floors]" caption="floors" attribute="1" defaultMemberUniqueName="[Housing].[floors].[All]" allUniqueName="[Housing].[floors].[All]" dimensionUniqueName="[Housing]" displayFolder="" count="0" memberValueDatatype="5" unbalanced="0"/>
    <cacheHierarchy uniqueName="[Housing].[waterfront]" caption="waterfront" attribute="1" defaultMemberUniqueName="[Housing].[waterfront].[All]" allUniqueName="[Housing].[waterfront].[All]" dimensionUniqueName="[Housing]" displayFolder="" count="0" memberValueDatatype="20" unbalanced="0"/>
    <cacheHierarchy uniqueName="[Housing].[view]" caption="view" attribute="1" defaultMemberUniqueName="[Housing].[view].[All]" allUniqueName="[Housing].[view].[All]" dimensionUniqueName="[Housing]" displayFolder="" count="2" memberValueDatatype="20" unbalanced="0">
      <fieldsUsage count="2">
        <fieldUsage x="-1"/>
        <fieldUsage x="2"/>
      </fieldsUsage>
    </cacheHierarchy>
    <cacheHierarchy uniqueName="[Housing].[condition]" caption="condition" attribute="1" defaultMemberUniqueName="[Housing].[condition].[All]" allUniqueName="[Housing].[condition].[All]" dimensionUniqueName="[Housing]" displayFolder="" count="2" memberValueDatatype="20" unbalanced="0"/>
    <cacheHierarchy uniqueName="[Housing].[sqft_above]" caption="sqft_above" attribute="1" defaultMemberUniqueName="[Housing].[sqft_above].[All]" allUniqueName="[Housing].[sqft_above].[All]" dimensionUniqueName="[Housing]" displayFolder="" count="0" memberValueDatatype="20" unbalanced="0"/>
    <cacheHierarchy uniqueName="[Housing].[sqft_basement]" caption="sqft_basement" attribute="1" defaultMemberUniqueName="[Housing].[sqft_basement].[All]" allUniqueName="[Housing].[sqft_basement].[All]" dimensionUniqueName="[Housing]" displayFolder="" count="0" memberValueDatatype="20" unbalanced="0"/>
    <cacheHierarchy uniqueName="[Housing].[yr_built]" caption="yr_built" attribute="1" defaultMemberUniqueName="[Housing].[yr_built].[All]" allUniqueName="[Housing].[yr_built].[All]" dimensionUniqueName="[Housing]" displayFolder="" count="0" memberValueDatatype="20" unbalanced="0"/>
    <cacheHierarchy uniqueName="[Housing].[yr_renovated]" caption="yr_renovated" attribute="1" defaultMemberUniqueName="[Housing].[yr_renovated].[All]" allUniqueName="[Housing].[yr_renovated].[All]" dimensionUniqueName="[Housing]" displayFolder="" count="0" memberValueDatatype="20" unbalanced="0"/>
    <cacheHierarchy uniqueName="[Housing].[street]" caption="street" attribute="1" defaultMemberUniqueName="[Housing].[street].[All]" allUniqueName="[Housing].[street].[All]" dimensionUniqueName="[Housing]" displayFolder="" count="0" memberValueDatatype="130" unbalanced="0"/>
    <cacheHierarchy uniqueName="[Housing].[city]" caption="city" attribute="1" defaultMemberUniqueName="[Housing].[city].[All]" allUniqueName="[Housing].[city].[All]" dimensionUniqueName="[Housing]" displayFolder="" count="0" memberValueDatatype="130" unbalanced="0"/>
    <cacheHierarchy uniqueName="[Housing].[statezip]" caption="statezip" attribute="1" defaultMemberUniqueName="[Housing].[statezip].[All]" allUniqueName="[Housing].[statezip].[All]" dimensionUniqueName="[Housing]" displayFolder="" count="0" memberValueDatatype="130" unbalanced="0"/>
    <cacheHierarchy uniqueName="[Housing].[price_per_sqft]" caption="price_per_sqft" attribute="1" defaultMemberUniqueName="[Housing].[price_per_sqft].[All]" allUniqueName="[Housing].[price_per_sqft].[All]" dimensionUniqueName="[Housing]" displayFolder="" count="0" memberValueDatatype="5" unbalanced="0"/>
    <cacheHierarchy uniqueName="[Housing].[Renovation Status]" caption="Renovation Status" attribute="1" defaultMemberUniqueName="[Housing].[Renovation Status].[All]" allUniqueName="[Housing].[Renovation Status].[All]" dimensionUniqueName="[Housing]" displayFolder="" count="2" memberValueDatatype="130" unbalanced="0">
      <fieldsUsage count="2">
        <fieldUsage x="-1"/>
        <fieldUsage x="0"/>
      </fieldsUsage>
    </cacheHierarchy>
    <cacheHierarchy uniqueName="[Housing].[Basement Status]" caption="Basement Status" attribute="1" defaultMemberUniqueName="[Housing].[Basement Status].[All]" allUniqueName="[Housing].[Basement Status].[All]" dimensionUniqueName="[Housing]" displayFolder="" count="2" memberValueDatatype="130" unbalanced="0"/>
    <cacheHierarchy uniqueName="[Housing].[Property Age]" caption="Property Age" attribute="1" defaultMemberUniqueName="[Housing].[Property Age].[All]" allUniqueName="[Housing].[Property Age].[All]" dimensionUniqueName="[Housing]" displayFolder="" count="0" memberValueDatatype="130" unbalanced="0"/>
    <cacheHierarchy uniqueName="[Housing].[Property Age Band]" caption="Property Age Band" attribute="1" defaultMemberUniqueName="[Housing].[Property Age Band].[All]" allUniqueName="[Housing].[Property Age Band].[All]" dimensionUniqueName="[Housing]" displayFolder="" count="0" memberValueDatatype="130" unbalanced="0"/>
    <cacheHierarchy uniqueName="[Housing].[Living Area Band]" caption="Living Area Band" attribute="1" defaultMemberUniqueName="[Housing].[Living Area Band].[All]" allUniqueName="[Housing].[Living Area Band].[All]" dimensionUniqueName="[Housing]" displayFolder="" count="0" memberValueDatatype="130" unbalanced="0"/>
    <cacheHierarchy uniqueName="[Housing].[Waterfront Status]" caption="Waterfront Status" attribute="1" defaultMemberUniqueName="[Housing].[Waterfront Status].[All]" allUniqueName="[Housing].[Waterfront Status].[All]" dimensionUniqueName="[Housing]" displayFolder="" count="0" memberValueDatatype="130" unbalanced="0"/>
    <cacheHierarchy uniqueName="[Measures].[Number of Properties]" caption="Number of Properties" measure="1" displayFolder="" measureGroup="Housing" count="0"/>
    <cacheHierarchy uniqueName="[Measures].[Total Property Value]" caption="Total Property Value" measure="1" displayFolder="" measureGroup="Housing" count="0"/>
    <cacheHierarchy uniqueName="[Measures].[Average Price]" caption="Average Price" measure="1" displayFolder="" measureGroup="Housing" count="0" oneField="1">
      <fieldsUsage count="1">
        <fieldUsage x="1"/>
      </fieldsUsage>
    </cacheHierarchy>
    <cacheHierarchy uniqueName="[Measures].[Median Price]" caption="Median Price" measure="1" displayFolder="" measureGroup="Housing" count="0"/>
    <cacheHierarchy uniqueName="[Measures].[Average Price Per Sqft]" caption="Average Price Per Sqft" measure="1" displayFolder="" measureGroup="Housing" count="0"/>
    <cacheHierarchy uniqueName="[Measures].[__XL_Count Housing]" caption="__XL_Count Housing" measure="1" displayFolder="" measureGroup="Housing" count="0" hidden="1"/>
    <cacheHierarchy uniqueName="[Measures].[__No measures defined]" caption="__No measures defined" measure="1" displayFolder="" count="0" hidden="1"/>
    <cacheHierarchy uniqueName="[Measures].[Sum of bedrooms]" caption="Sum of bedrooms" measure="1" displayFolder="" measureGroup="Housing" count="0" hidden="1">
      <extLst>
        <ext xmlns:x15="http://schemas.microsoft.com/office/spreadsheetml/2010/11/main" uri="{B97F6D7D-B522-45F9-BDA1-12C45D357490}">
          <x15:cacheHierarchy aggregatedColumn="2"/>
        </ext>
      </extLst>
    </cacheHierarchy>
    <cacheHierarchy uniqueName="[Measures].[Sum of view]" caption="Sum of view" measure="1" displayFolder="" measureGroup="Housing" count="0" hidden="1">
      <extLst>
        <ext xmlns:x15="http://schemas.microsoft.com/office/spreadsheetml/2010/11/main" uri="{B97F6D7D-B522-45F9-BDA1-12C45D357490}">
          <x15:cacheHierarchy aggregatedColumn="8"/>
        </ext>
      </extLst>
    </cacheHierarchy>
  </cacheHierarchies>
  <kpis count="0"/>
  <dimensions count="2">
    <dimension name="Housing" uniqueName="[Housing]" caption="Housing"/>
    <dimension measure="1" name="Measures" uniqueName="[Measures]" caption="Measures"/>
  </dimensions>
  <measureGroups count="1">
    <measureGroup name="Housing" caption="Hous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9.900678124999" createdVersion="5" refreshedVersion="8" minRefreshableVersion="3" recordCount="0" supportSubquery="1" supportAdvancedDrill="1" xr:uid="{85D4D7B5-C9D6-4D53-B19F-9A90CF2FD3B8}">
  <cacheSource type="external" connectionId="2"/>
  <cacheFields count="3">
    <cacheField name="[Housing].[Basement Status].[Basement Status]" caption="Basement Status" numFmtId="0" hierarchy="19" level="1">
      <sharedItems count="2">
        <s v="Has Basement"/>
        <s v="No Basement"/>
      </sharedItems>
      <extLst>
        <ext xmlns:x15="http://schemas.microsoft.com/office/spreadsheetml/2010/11/main" uri="{4F2E5C28-24EA-4eb8-9CBF-B6C8F9C3D259}">
          <x15:cachedUniqueNames>
            <x15:cachedUniqueName index="0" name="[Housing].[Basement Status].&amp;[Has Basement]"/>
            <x15:cachedUniqueName index="1" name="[Housing].[Basement Status].&amp;[No Basement]"/>
          </x15:cachedUniqueNames>
        </ext>
      </extLst>
    </cacheField>
    <cacheField name="[Measures].[Average Price]" caption="Average Price" numFmtId="0" hierarchy="26" level="32767"/>
    <cacheField name="[Housing].[view].[view]" caption="view" numFmtId="0" hierarchy="8" level="1">
      <sharedItems containsSemiMixedTypes="0" containsNonDate="0" containsString="0"/>
    </cacheField>
  </cacheFields>
  <cacheHierarchies count="33">
    <cacheHierarchy uniqueName="[Housing].[date]" caption="date" attribute="1" time="1" defaultMemberUniqueName="[Housing].[date].[All]" allUniqueName="[Housing].[date].[All]" dimensionUniqueName="[Housing]" displayFolder="" count="0" memberValueDatatype="7" unbalanced="0"/>
    <cacheHierarchy uniqueName="[Housing].[price]" caption="price" attribute="1" defaultMemberUniqueName="[Housing].[price].[All]" allUniqueName="[Housing].[price].[All]" dimensionUniqueName="[Housing]" displayFolder="" count="0" memberValueDatatype="20" unbalanced="0"/>
    <cacheHierarchy uniqueName="[Housing].[bedrooms]" caption="bedrooms" attribute="1" defaultMemberUniqueName="[Housing].[bedrooms].[All]" allUniqueName="[Housing].[bedrooms].[All]" dimensionUniqueName="[Housing]" displayFolder="" count="0" memberValueDatatype="20" unbalanced="0"/>
    <cacheHierarchy uniqueName="[Housing].[bathrooms]" caption="bathrooms" attribute="1" defaultMemberUniqueName="[Housing].[bathrooms].[All]" allUniqueName="[Housing].[bathrooms].[All]" dimensionUniqueName="[Housing]" displayFolder="" count="0" memberValueDatatype="5" unbalanced="0"/>
    <cacheHierarchy uniqueName="[Housing].[sqft_living]" caption="sqft_living" attribute="1" defaultMemberUniqueName="[Housing].[sqft_living].[All]" allUniqueName="[Housing].[sqft_living].[All]" dimensionUniqueName="[Housing]" displayFolder="" count="0" memberValueDatatype="20" unbalanced="0"/>
    <cacheHierarchy uniqueName="[Housing].[sqft_lot]" caption="sqft_lot" attribute="1" defaultMemberUniqueName="[Housing].[sqft_lot].[All]" allUniqueName="[Housing].[sqft_lot].[All]" dimensionUniqueName="[Housing]" displayFolder="" count="0" memberValueDatatype="20" unbalanced="0"/>
    <cacheHierarchy uniqueName="[Housing].[floors]" caption="floors" attribute="1" defaultMemberUniqueName="[Housing].[floors].[All]" allUniqueName="[Housing].[floors].[All]" dimensionUniqueName="[Housing]" displayFolder="" count="0" memberValueDatatype="5" unbalanced="0"/>
    <cacheHierarchy uniqueName="[Housing].[waterfront]" caption="waterfront" attribute="1" defaultMemberUniqueName="[Housing].[waterfront].[All]" allUniqueName="[Housing].[waterfront].[All]" dimensionUniqueName="[Housing]" displayFolder="" count="0" memberValueDatatype="20" unbalanced="0"/>
    <cacheHierarchy uniqueName="[Housing].[view]" caption="view" attribute="1" defaultMemberUniqueName="[Housing].[view].[All]" allUniqueName="[Housing].[view].[All]" dimensionUniqueName="[Housing]" displayFolder="" count="2" memberValueDatatype="20" unbalanced="0">
      <fieldsUsage count="2">
        <fieldUsage x="-1"/>
        <fieldUsage x="2"/>
      </fieldsUsage>
    </cacheHierarchy>
    <cacheHierarchy uniqueName="[Housing].[condition]" caption="condition" attribute="1" defaultMemberUniqueName="[Housing].[condition].[All]" allUniqueName="[Housing].[condition].[All]" dimensionUniqueName="[Housing]" displayFolder="" count="2" memberValueDatatype="20" unbalanced="0"/>
    <cacheHierarchy uniqueName="[Housing].[sqft_above]" caption="sqft_above" attribute="1" defaultMemberUniqueName="[Housing].[sqft_above].[All]" allUniqueName="[Housing].[sqft_above].[All]" dimensionUniqueName="[Housing]" displayFolder="" count="0" memberValueDatatype="20" unbalanced="0"/>
    <cacheHierarchy uniqueName="[Housing].[sqft_basement]" caption="sqft_basement" attribute="1" defaultMemberUniqueName="[Housing].[sqft_basement].[All]" allUniqueName="[Housing].[sqft_basement].[All]" dimensionUniqueName="[Housing]" displayFolder="" count="0" memberValueDatatype="20" unbalanced="0"/>
    <cacheHierarchy uniqueName="[Housing].[yr_built]" caption="yr_built" attribute="1" defaultMemberUniqueName="[Housing].[yr_built].[All]" allUniqueName="[Housing].[yr_built].[All]" dimensionUniqueName="[Housing]" displayFolder="" count="0" memberValueDatatype="20" unbalanced="0"/>
    <cacheHierarchy uniqueName="[Housing].[yr_renovated]" caption="yr_renovated" attribute="1" defaultMemberUniqueName="[Housing].[yr_renovated].[All]" allUniqueName="[Housing].[yr_renovated].[All]" dimensionUniqueName="[Housing]" displayFolder="" count="0" memberValueDatatype="20" unbalanced="0"/>
    <cacheHierarchy uniqueName="[Housing].[street]" caption="street" attribute="1" defaultMemberUniqueName="[Housing].[street].[All]" allUniqueName="[Housing].[street].[All]" dimensionUniqueName="[Housing]" displayFolder="" count="0" memberValueDatatype="130" unbalanced="0"/>
    <cacheHierarchy uniqueName="[Housing].[city]" caption="city" attribute="1" defaultMemberUniqueName="[Housing].[city].[All]" allUniqueName="[Housing].[city].[All]" dimensionUniqueName="[Housing]" displayFolder="" count="0" memberValueDatatype="130" unbalanced="0"/>
    <cacheHierarchy uniqueName="[Housing].[statezip]" caption="statezip" attribute="1" defaultMemberUniqueName="[Housing].[statezip].[All]" allUniqueName="[Housing].[statezip].[All]" dimensionUniqueName="[Housing]" displayFolder="" count="0" memberValueDatatype="130" unbalanced="0"/>
    <cacheHierarchy uniqueName="[Housing].[price_per_sqft]" caption="price_per_sqft" attribute="1" defaultMemberUniqueName="[Housing].[price_per_sqft].[All]" allUniqueName="[Housing].[price_per_sqft].[All]" dimensionUniqueName="[Housing]" displayFolder="" count="0" memberValueDatatype="5" unbalanced="0"/>
    <cacheHierarchy uniqueName="[Housing].[Renovation Status]" caption="Renovation Status" attribute="1" defaultMemberUniqueName="[Housing].[Renovation Status].[All]" allUniqueName="[Housing].[Renovation Status].[All]" dimensionUniqueName="[Housing]" displayFolder="" count="0" memberValueDatatype="130" unbalanced="0"/>
    <cacheHierarchy uniqueName="[Housing].[Basement Status]" caption="Basement Status" attribute="1" defaultMemberUniqueName="[Housing].[Basement Status].[All]" allUniqueName="[Housing].[Basement Status].[All]" dimensionUniqueName="[Housing]" displayFolder="" count="2" memberValueDatatype="130" unbalanced="0">
      <fieldsUsage count="2">
        <fieldUsage x="-1"/>
        <fieldUsage x="0"/>
      </fieldsUsage>
    </cacheHierarchy>
    <cacheHierarchy uniqueName="[Housing].[Property Age]" caption="Property Age" attribute="1" defaultMemberUniqueName="[Housing].[Property Age].[All]" allUniqueName="[Housing].[Property Age].[All]" dimensionUniqueName="[Housing]" displayFolder="" count="0" memberValueDatatype="130" unbalanced="0"/>
    <cacheHierarchy uniqueName="[Housing].[Property Age Band]" caption="Property Age Band" attribute="1" defaultMemberUniqueName="[Housing].[Property Age Band].[All]" allUniqueName="[Housing].[Property Age Band].[All]" dimensionUniqueName="[Housing]" displayFolder="" count="0" memberValueDatatype="130" unbalanced="0"/>
    <cacheHierarchy uniqueName="[Housing].[Living Area Band]" caption="Living Area Band" attribute="1" defaultMemberUniqueName="[Housing].[Living Area Band].[All]" allUniqueName="[Housing].[Living Area Band].[All]" dimensionUniqueName="[Housing]" displayFolder="" count="0" memberValueDatatype="130" unbalanced="0"/>
    <cacheHierarchy uniqueName="[Housing].[Waterfront Status]" caption="Waterfront Status" attribute="1" defaultMemberUniqueName="[Housing].[Waterfront Status].[All]" allUniqueName="[Housing].[Waterfront Status].[All]" dimensionUniqueName="[Housing]" displayFolder="" count="0" memberValueDatatype="130" unbalanced="0"/>
    <cacheHierarchy uniqueName="[Measures].[Number of Properties]" caption="Number of Properties" measure="1" displayFolder="" measureGroup="Housing" count="0"/>
    <cacheHierarchy uniqueName="[Measures].[Total Property Value]" caption="Total Property Value" measure="1" displayFolder="" measureGroup="Housing" count="0"/>
    <cacheHierarchy uniqueName="[Measures].[Average Price]" caption="Average Price" measure="1" displayFolder="" measureGroup="Housing" count="0" oneField="1">
      <fieldsUsage count="1">
        <fieldUsage x="1"/>
      </fieldsUsage>
    </cacheHierarchy>
    <cacheHierarchy uniqueName="[Measures].[Median Price]" caption="Median Price" measure="1" displayFolder="" measureGroup="Housing" count="0"/>
    <cacheHierarchy uniqueName="[Measures].[Average Price Per Sqft]" caption="Average Price Per Sqft" measure="1" displayFolder="" measureGroup="Housing" count="0"/>
    <cacheHierarchy uniqueName="[Measures].[__XL_Count Housing]" caption="__XL_Count Housing" measure="1" displayFolder="" measureGroup="Housing" count="0" hidden="1"/>
    <cacheHierarchy uniqueName="[Measures].[__No measures defined]" caption="__No measures defined" measure="1" displayFolder="" count="0" hidden="1"/>
    <cacheHierarchy uniqueName="[Measures].[Sum of bedrooms]" caption="Sum of bedrooms" measure="1" displayFolder="" measureGroup="Housing" count="0" hidden="1">
      <extLst>
        <ext xmlns:x15="http://schemas.microsoft.com/office/spreadsheetml/2010/11/main" uri="{B97F6D7D-B522-45F9-BDA1-12C45D357490}">
          <x15:cacheHierarchy aggregatedColumn="2"/>
        </ext>
      </extLst>
    </cacheHierarchy>
    <cacheHierarchy uniqueName="[Measures].[Sum of view]" caption="Sum of view" measure="1" displayFolder="" measureGroup="Housing" count="0" hidden="1">
      <extLst>
        <ext xmlns:x15="http://schemas.microsoft.com/office/spreadsheetml/2010/11/main" uri="{B97F6D7D-B522-45F9-BDA1-12C45D357490}">
          <x15:cacheHierarchy aggregatedColumn="8"/>
        </ext>
      </extLst>
    </cacheHierarchy>
  </cacheHierarchies>
  <kpis count="0"/>
  <dimensions count="2">
    <dimension name="Housing" uniqueName="[Housing]" caption="Housing"/>
    <dimension measure="1" name="Measures" uniqueName="[Measures]" caption="Measures"/>
  </dimensions>
  <measureGroups count="1">
    <measureGroup name="Housing" caption="Hous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86554791667" createdVersion="5" refreshedVersion="8" minRefreshableVersion="3" recordCount="0" supportSubquery="1" supportAdvancedDrill="1" xr:uid="{0A6F894F-3D05-4E24-BB56-062E83699D4E}">
  <cacheSource type="external" connectionId="2"/>
  <cacheFields count="2">
    <cacheField name="[Housing].[Property Age Band].[Property Age Band]" caption="Property Age Band" numFmtId="0" hierarchy="21" level="1">
      <sharedItems count="7">
        <s v="0 - 9 years"/>
        <s v="10 - 19 years"/>
        <s v="20 - 29 years"/>
        <s v="30 - 39 years"/>
        <s v="40 - 49 years"/>
        <s v="50 - 59 years"/>
        <s v="60+ years"/>
      </sharedItems>
      <extLst>
        <ext xmlns:x15="http://schemas.microsoft.com/office/spreadsheetml/2010/11/main" uri="{4F2E5C28-24EA-4eb8-9CBF-B6C8F9C3D259}">
          <x15:cachedUniqueNames>
            <x15:cachedUniqueName index="0" name="[Housing].[Property Age Band].&amp;[0 - 9 years]"/>
            <x15:cachedUniqueName index="1" name="[Housing].[Property Age Band].&amp;[10 - 19 years]"/>
            <x15:cachedUniqueName index="2" name="[Housing].[Property Age Band].&amp;[20 - 29 years]"/>
            <x15:cachedUniqueName index="3" name="[Housing].[Property Age Band].&amp;[30 - 39 years]"/>
            <x15:cachedUniqueName index="4" name="[Housing].[Property Age Band].&amp;[40 - 49 years]"/>
            <x15:cachedUniqueName index="5" name="[Housing].[Property Age Band].&amp;[50 - 59 years]"/>
            <x15:cachedUniqueName index="6" name="[Housing].[Property Age Band].&amp;[60+ years]"/>
          </x15:cachedUniqueNames>
        </ext>
      </extLst>
    </cacheField>
    <cacheField name="[Measures].[Average Price]" caption="Average Price" numFmtId="0" hierarchy="26" level="32767"/>
  </cacheFields>
  <cacheHierarchies count="33">
    <cacheHierarchy uniqueName="[Housing].[date]" caption="date" attribute="1" time="1" defaultMemberUniqueName="[Housing].[date].[All]" allUniqueName="[Housing].[date].[All]" dimensionUniqueName="[Housing]" displayFolder="" count="0" memberValueDatatype="7" unbalanced="0"/>
    <cacheHierarchy uniqueName="[Housing].[price]" caption="price" attribute="1" defaultMemberUniqueName="[Housing].[price].[All]" allUniqueName="[Housing].[price].[All]" dimensionUniqueName="[Housing]" displayFolder="" count="0" memberValueDatatype="20" unbalanced="0"/>
    <cacheHierarchy uniqueName="[Housing].[bedrooms]" caption="bedrooms" attribute="1" defaultMemberUniqueName="[Housing].[bedrooms].[All]" allUniqueName="[Housing].[bedrooms].[All]" dimensionUniqueName="[Housing]" displayFolder="" count="0" memberValueDatatype="20" unbalanced="0"/>
    <cacheHierarchy uniqueName="[Housing].[bathrooms]" caption="bathrooms" attribute="1" defaultMemberUniqueName="[Housing].[bathrooms].[All]" allUniqueName="[Housing].[bathrooms].[All]" dimensionUniqueName="[Housing]" displayFolder="" count="0" memberValueDatatype="5" unbalanced="0"/>
    <cacheHierarchy uniqueName="[Housing].[sqft_living]" caption="sqft_living" attribute="1" defaultMemberUniqueName="[Housing].[sqft_living].[All]" allUniqueName="[Housing].[sqft_living].[All]" dimensionUniqueName="[Housing]" displayFolder="" count="0" memberValueDatatype="20" unbalanced="0"/>
    <cacheHierarchy uniqueName="[Housing].[sqft_lot]" caption="sqft_lot" attribute="1" defaultMemberUniqueName="[Housing].[sqft_lot].[All]" allUniqueName="[Housing].[sqft_lot].[All]" dimensionUniqueName="[Housing]" displayFolder="" count="0" memberValueDatatype="20" unbalanced="0"/>
    <cacheHierarchy uniqueName="[Housing].[floors]" caption="floors" attribute="1" defaultMemberUniqueName="[Housing].[floors].[All]" allUniqueName="[Housing].[floors].[All]" dimensionUniqueName="[Housing]" displayFolder="" count="0" memberValueDatatype="5" unbalanced="0"/>
    <cacheHierarchy uniqueName="[Housing].[waterfront]" caption="waterfront" attribute="1" defaultMemberUniqueName="[Housing].[waterfront].[All]" allUniqueName="[Housing].[waterfront].[All]" dimensionUniqueName="[Housing]" displayFolder="" count="0" memberValueDatatype="20" unbalanced="0"/>
    <cacheHierarchy uniqueName="[Housing].[view]" caption="view" attribute="1" defaultMemberUniqueName="[Housing].[view].[All]" allUniqueName="[Housing].[view].[All]" dimensionUniqueName="[Housing]" displayFolder="" count="2" memberValueDatatype="20" unbalanced="0"/>
    <cacheHierarchy uniqueName="[Housing].[condition]" caption="condition" attribute="1" defaultMemberUniqueName="[Housing].[condition].[All]" allUniqueName="[Housing].[condition].[All]" dimensionUniqueName="[Housing]" displayFolder="" count="2" memberValueDatatype="20" unbalanced="0"/>
    <cacheHierarchy uniqueName="[Housing].[sqft_above]" caption="sqft_above" attribute="1" defaultMemberUniqueName="[Housing].[sqft_above].[All]" allUniqueName="[Housing].[sqft_above].[All]" dimensionUniqueName="[Housing]" displayFolder="" count="0" memberValueDatatype="20" unbalanced="0"/>
    <cacheHierarchy uniqueName="[Housing].[sqft_basement]" caption="sqft_basement" attribute="1" defaultMemberUniqueName="[Housing].[sqft_basement].[All]" allUniqueName="[Housing].[sqft_basement].[All]" dimensionUniqueName="[Housing]" displayFolder="" count="0" memberValueDatatype="20" unbalanced="0"/>
    <cacheHierarchy uniqueName="[Housing].[yr_built]" caption="yr_built" attribute="1" defaultMemberUniqueName="[Housing].[yr_built].[All]" allUniqueName="[Housing].[yr_built].[All]" dimensionUniqueName="[Housing]" displayFolder="" count="0" memberValueDatatype="20" unbalanced="0"/>
    <cacheHierarchy uniqueName="[Housing].[yr_renovated]" caption="yr_renovated" attribute="1" defaultMemberUniqueName="[Housing].[yr_renovated].[All]" allUniqueName="[Housing].[yr_renovated].[All]" dimensionUniqueName="[Housing]" displayFolder="" count="0" memberValueDatatype="20" unbalanced="0"/>
    <cacheHierarchy uniqueName="[Housing].[street]" caption="street" attribute="1" defaultMemberUniqueName="[Housing].[street].[All]" allUniqueName="[Housing].[street].[All]" dimensionUniqueName="[Housing]" displayFolder="" count="0" memberValueDatatype="130" unbalanced="0"/>
    <cacheHierarchy uniqueName="[Housing].[city]" caption="city" attribute="1" defaultMemberUniqueName="[Housing].[city].[All]" allUniqueName="[Housing].[city].[All]" dimensionUniqueName="[Housing]" displayFolder="" count="0" memberValueDatatype="130" unbalanced="0"/>
    <cacheHierarchy uniqueName="[Housing].[statezip]" caption="statezip" attribute="1" defaultMemberUniqueName="[Housing].[statezip].[All]" allUniqueName="[Housing].[statezip].[All]" dimensionUniqueName="[Housing]" displayFolder="" count="0" memberValueDatatype="130" unbalanced="0"/>
    <cacheHierarchy uniqueName="[Housing].[price_per_sqft]" caption="price_per_sqft" attribute="1" defaultMemberUniqueName="[Housing].[price_per_sqft].[All]" allUniqueName="[Housing].[price_per_sqft].[All]" dimensionUniqueName="[Housing]" displayFolder="" count="0" memberValueDatatype="5" unbalanced="0"/>
    <cacheHierarchy uniqueName="[Housing].[Renovation Status]" caption="Renovation Status" attribute="1" defaultMemberUniqueName="[Housing].[Renovation Status].[All]" allUniqueName="[Housing].[Renovation Status].[All]" dimensionUniqueName="[Housing]" displayFolder="" count="0" memberValueDatatype="130" unbalanced="0"/>
    <cacheHierarchy uniqueName="[Housing].[Basement Status]" caption="Basement Status" attribute="1" defaultMemberUniqueName="[Housing].[Basement Status].[All]" allUniqueName="[Housing].[Basement Status].[All]" dimensionUniqueName="[Housing]" displayFolder="" count="2" memberValueDatatype="130" unbalanced="0"/>
    <cacheHierarchy uniqueName="[Housing].[Property Age]" caption="Property Age" attribute="1" defaultMemberUniqueName="[Housing].[Property Age].[All]" allUniqueName="[Housing].[Property Age].[All]" dimensionUniqueName="[Housing]" displayFolder="" count="0" memberValueDatatype="130" unbalanced="0"/>
    <cacheHierarchy uniqueName="[Housing].[Property Age Band]" caption="Property Age Band" attribute="1" defaultMemberUniqueName="[Housing].[Property Age Band].[All]" allUniqueName="[Housing].[Property Age Band].[All]" dimensionUniqueName="[Housing]" displayFolder="" count="2" memberValueDatatype="130" unbalanced="0">
      <fieldsUsage count="2">
        <fieldUsage x="-1"/>
        <fieldUsage x="0"/>
      </fieldsUsage>
    </cacheHierarchy>
    <cacheHierarchy uniqueName="[Housing].[Living Area Band]" caption="Living Area Band" attribute="1" defaultMemberUniqueName="[Housing].[Living Area Band].[All]" allUniqueName="[Housing].[Living Area Band].[All]" dimensionUniqueName="[Housing]" displayFolder="" count="2" memberValueDatatype="130" unbalanced="0"/>
    <cacheHierarchy uniqueName="[Housing].[Waterfront Status]" caption="Waterfront Status" attribute="1" defaultMemberUniqueName="[Housing].[Waterfront Status].[All]" allUniqueName="[Housing].[Waterfront Status].[All]" dimensionUniqueName="[Housing]" displayFolder="" count="0" memberValueDatatype="130" unbalanced="0"/>
    <cacheHierarchy uniqueName="[Measures].[Number of Properties]" caption="Number of Properties" measure="1" displayFolder="" measureGroup="Housing" count="0"/>
    <cacheHierarchy uniqueName="[Measures].[Total Property Value]" caption="Total Property Value" measure="1" displayFolder="" measureGroup="Housing" count="0"/>
    <cacheHierarchy uniqueName="[Measures].[Average Price]" caption="Average Price" measure="1" displayFolder="" measureGroup="Housing" count="0" oneField="1">
      <fieldsUsage count="1">
        <fieldUsage x="1"/>
      </fieldsUsage>
    </cacheHierarchy>
    <cacheHierarchy uniqueName="[Measures].[Median Price]" caption="Median Price" measure="1" displayFolder="" measureGroup="Housing" count="0"/>
    <cacheHierarchy uniqueName="[Measures].[Average Price Per Sqft]" caption="Average Price Per Sqft" measure="1" displayFolder="" measureGroup="Housing" count="0"/>
    <cacheHierarchy uniqueName="[Measures].[__XL_Count Housing]" caption="__XL_Count Housing" measure="1" displayFolder="" measureGroup="Housing" count="0" hidden="1"/>
    <cacheHierarchy uniqueName="[Measures].[__No measures defined]" caption="__No measures defined" measure="1" displayFolder="" count="0" hidden="1"/>
    <cacheHierarchy uniqueName="[Measures].[Sum of bedrooms]" caption="Sum of bedrooms" measure="1" displayFolder="" measureGroup="Housing" count="0" hidden="1">
      <extLst>
        <ext xmlns:x15="http://schemas.microsoft.com/office/spreadsheetml/2010/11/main" uri="{B97F6D7D-B522-45F9-BDA1-12C45D357490}">
          <x15:cacheHierarchy aggregatedColumn="2"/>
        </ext>
      </extLst>
    </cacheHierarchy>
    <cacheHierarchy uniqueName="[Measures].[Sum of view]" caption="Sum of view" measure="1" displayFolder="" measureGroup="Housing" count="0" hidden="1">
      <extLst>
        <ext xmlns:x15="http://schemas.microsoft.com/office/spreadsheetml/2010/11/main" uri="{B97F6D7D-B522-45F9-BDA1-12C45D357490}">
          <x15:cacheHierarchy aggregatedColumn="8"/>
        </ext>
      </extLst>
    </cacheHierarchy>
  </cacheHierarchies>
  <kpis count="0"/>
  <dimensions count="2">
    <dimension name="Housing" uniqueName="[Housing]" caption="Housing"/>
    <dimension measure="1" name="Measures" uniqueName="[Measures]" caption="Measures"/>
  </dimensions>
  <measureGroups count="1">
    <measureGroup name="Housing" caption="Hous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9.896545138887" createdVersion="3" refreshedVersion="8" minRefreshableVersion="3" recordCount="0" supportSubquery="1" supportAdvancedDrill="1" xr:uid="{98868D83-9D30-40E2-A109-100F2DE11224}">
  <cacheSource type="external" connectionId="2">
    <extLst>
      <ext xmlns:x14="http://schemas.microsoft.com/office/spreadsheetml/2009/9/main" uri="{F057638F-6D5F-4e77-A914-E7F072B9BCA8}">
        <x14:sourceConnection name="ThisWorkbookDataModel"/>
      </ext>
    </extLst>
  </cacheSource>
  <cacheFields count="0"/>
  <cacheHierarchies count="33">
    <cacheHierarchy uniqueName="[Housing].[date]" caption="date" attribute="1" time="1" defaultMemberUniqueName="[Housing].[date].[All]" allUniqueName="[Housing].[date].[All]" dimensionUniqueName="[Housing]" displayFolder="" count="0" memberValueDatatype="7" unbalanced="0"/>
    <cacheHierarchy uniqueName="[Housing].[price]" caption="price" attribute="1" defaultMemberUniqueName="[Housing].[price].[All]" allUniqueName="[Housing].[price].[All]" dimensionUniqueName="[Housing]" displayFolder="" count="0" memberValueDatatype="20" unbalanced="0"/>
    <cacheHierarchy uniqueName="[Housing].[bedrooms]" caption="bedrooms" attribute="1" defaultMemberUniqueName="[Housing].[bedrooms].[All]" allUniqueName="[Housing].[bedrooms].[All]" dimensionUniqueName="[Housing]" displayFolder="" count="0" memberValueDatatype="20" unbalanced="0"/>
    <cacheHierarchy uniqueName="[Housing].[bathrooms]" caption="bathrooms" attribute="1" defaultMemberUniqueName="[Housing].[bathrooms].[All]" allUniqueName="[Housing].[bathrooms].[All]" dimensionUniqueName="[Housing]" displayFolder="" count="0" memberValueDatatype="5" unbalanced="0"/>
    <cacheHierarchy uniqueName="[Housing].[sqft_living]" caption="sqft_living" attribute="1" defaultMemberUniqueName="[Housing].[sqft_living].[All]" allUniqueName="[Housing].[sqft_living].[All]" dimensionUniqueName="[Housing]" displayFolder="" count="0" memberValueDatatype="20" unbalanced="0"/>
    <cacheHierarchy uniqueName="[Housing].[sqft_lot]" caption="sqft_lot" attribute="1" defaultMemberUniqueName="[Housing].[sqft_lot].[All]" allUniqueName="[Housing].[sqft_lot].[All]" dimensionUniqueName="[Housing]" displayFolder="" count="0" memberValueDatatype="20" unbalanced="0"/>
    <cacheHierarchy uniqueName="[Housing].[floors]" caption="floors" attribute="1" defaultMemberUniqueName="[Housing].[floors].[All]" allUniqueName="[Housing].[floors].[All]" dimensionUniqueName="[Housing]" displayFolder="" count="0" memberValueDatatype="5" unbalanced="0"/>
    <cacheHierarchy uniqueName="[Housing].[waterfront]" caption="waterfront" attribute="1" defaultMemberUniqueName="[Housing].[waterfront].[All]" allUniqueName="[Housing].[waterfront].[All]" dimensionUniqueName="[Housing]" displayFolder="" count="0" memberValueDatatype="20" unbalanced="0"/>
    <cacheHierarchy uniqueName="[Housing].[view]" caption="view" attribute="1" defaultMemberUniqueName="[Housing].[view].[All]" allUniqueName="[Housing].[view].[All]" dimensionUniqueName="[Housing]" displayFolder="" count="2" memberValueDatatype="20" unbalanced="0"/>
    <cacheHierarchy uniqueName="[Housing].[condition]" caption="condition" attribute="1" defaultMemberUniqueName="[Housing].[condition].[All]" allUniqueName="[Housing].[condition].[All]" dimensionUniqueName="[Housing]" displayFolder="" count="2" memberValueDatatype="20" unbalanced="0"/>
    <cacheHierarchy uniqueName="[Housing].[sqft_above]" caption="sqft_above" attribute="1" defaultMemberUniqueName="[Housing].[sqft_above].[All]" allUniqueName="[Housing].[sqft_above].[All]" dimensionUniqueName="[Housing]" displayFolder="" count="0" memberValueDatatype="20" unbalanced="0"/>
    <cacheHierarchy uniqueName="[Housing].[sqft_basement]" caption="sqft_basement" attribute="1" defaultMemberUniqueName="[Housing].[sqft_basement].[All]" allUniqueName="[Housing].[sqft_basement].[All]" dimensionUniqueName="[Housing]" displayFolder="" count="0" memberValueDatatype="20" unbalanced="0"/>
    <cacheHierarchy uniqueName="[Housing].[yr_built]" caption="yr_built" attribute="1" defaultMemberUniqueName="[Housing].[yr_built].[All]" allUniqueName="[Housing].[yr_built].[All]" dimensionUniqueName="[Housing]" displayFolder="" count="0" memberValueDatatype="20" unbalanced="0"/>
    <cacheHierarchy uniqueName="[Housing].[yr_renovated]" caption="yr_renovated" attribute="1" defaultMemberUniqueName="[Housing].[yr_renovated].[All]" allUniqueName="[Housing].[yr_renovated].[All]" dimensionUniqueName="[Housing]" displayFolder="" count="0" memberValueDatatype="20" unbalanced="0"/>
    <cacheHierarchy uniqueName="[Housing].[street]" caption="street" attribute="1" defaultMemberUniqueName="[Housing].[street].[All]" allUniqueName="[Housing].[street].[All]" dimensionUniqueName="[Housing]" displayFolder="" count="0" memberValueDatatype="130" unbalanced="0"/>
    <cacheHierarchy uniqueName="[Housing].[city]" caption="city" attribute="1" defaultMemberUniqueName="[Housing].[city].[All]" allUniqueName="[Housing].[city].[All]" dimensionUniqueName="[Housing]" displayFolder="" count="0" memberValueDatatype="130" unbalanced="0"/>
    <cacheHierarchy uniqueName="[Housing].[statezip]" caption="statezip" attribute="1" defaultMemberUniqueName="[Housing].[statezip].[All]" allUniqueName="[Housing].[statezip].[All]" dimensionUniqueName="[Housing]" displayFolder="" count="0" memberValueDatatype="130" unbalanced="0"/>
    <cacheHierarchy uniqueName="[Housing].[price_per_sqft]" caption="price_per_sqft" attribute="1" defaultMemberUniqueName="[Housing].[price_per_sqft].[All]" allUniqueName="[Housing].[price_per_sqft].[All]" dimensionUniqueName="[Housing]" displayFolder="" count="0" memberValueDatatype="5" unbalanced="0"/>
    <cacheHierarchy uniqueName="[Housing].[Renovation Status]" caption="Renovation Status" attribute="1" defaultMemberUniqueName="[Housing].[Renovation Status].[All]" allUniqueName="[Housing].[Renovation Status].[All]" dimensionUniqueName="[Housing]" displayFolder="" count="0" memberValueDatatype="130" unbalanced="0"/>
    <cacheHierarchy uniqueName="[Housing].[Basement Status]" caption="Basement Status" attribute="1" defaultMemberUniqueName="[Housing].[Basement Status].[All]" allUniqueName="[Housing].[Basement Status].[All]" dimensionUniqueName="[Housing]" displayFolder="" count="2" memberValueDatatype="130" unbalanced="0"/>
    <cacheHierarchy uniqueName="[Housing].[Property Age]" caption="Property Age" attribute="1" defaultMemberUniqueName="[Housing].[Property Age].[All]" allUniqueName="[Housing].[Property Age].[All]" dimensionUniqueName="[Housing]" displayFolder="" count="0" memberValueDatatype="130" unbalanced="0"/>
    <cacheHierarchy uniqueName="[Housing].[Property Age Band]" caption="Property Age Band" attribute="1" defaultMemberUniqueName="[Housing].[Property Age Band].[All]" allUniqueName="[Housing].[Property Age Band].[All]" dimensionUniqueName="[Housing]" displayFolder="" count="0" memberValueDatatype="130" unbalanced="0"/>
    <cacheHierarchy uniqueName="[Housing].[Living Area Band]" caption="Living Area Band" attribute="1" defaultMemberUniqueName="[Housing].[Living Area Band].[All]" allUniqueName="[Housing].[Living Area Band].[All]" dimensionUniqueName="[Housing]" displayFolder="" count="0" memberValueDatatype="130" unbalanced="0"/>
    <cacheHierarchy uniqueName="[Housing].[Waterfront Status]" caption="Waterfront Status" attribute="1" defaultMemberUniqueName="[Housing].[Waterfront Status].[All]" allUniqueName="[Housing].[Waterfront Status].[All]" dimensionUniqueName="[Housing]" displayFolder="" count="0" memberValueDatatype="130" unbalanced="0"/>
    <cacheHierarchy uniqueName="[Measures].[Number of Properties]" caption="Number of Properties" measure="1" displayFolder="" measureGroup="Housing" count="0"/>
    <cacheHierarchy uniqueName="[Measures].[Total Property Value]" caption="Total Property Value" measure="1" displayFolder="" measureGroup="Housing" count="0"/>
    <cacheHierarchy uniqueName="[Measures].[Average Price]" caption="Average Price" measure="1" displayFolder="" measureGroup="Housing" count="0"/>
    <cacheHierarchy uniqueName="[Measures].[Median Price]" caption="Median Price" measure="1" displayFolder="" measureGroup="Housing" count="0"/>
    <cacheHierarchy uniqueName="[Measures].[Average Price Per Sqft]" caption="Average Price Per Sqft" measure="1" displayFolder="" measureGroup="Housing" count="0"/>
    <cacheHierarchy uniqueName="[Measures].[__XL_Count Housing]" caption="__XL_Count Housing" measure="1" displayFolder="" measureGroup="Housing" count="0" hidden="1"/>
    <cacheHierarchy uniqueName="[Measures].[__No measures defined]" caption="__No measures defined" measure="1" displayFolder="" count="0" hidden="1"/>
    <cacheHierarchy uniqueName="[Measures].[Sum of bedrooms]" caption="Sum of bedrooms" measure="1" displayFolder="" measureGroup="Housing" count="0" hidden="1">
      <extLst>
        <ext xmlns:x15="http://schemas.microsoft.com/office/spreadsheetml/2010/11/main" uri="{B97F6D7D-B522-45F9-BDA1-12C45D357490}">
          <x15:cacheHierarchy aggregatedColumn="2"/>
        </ext>
      </extLst>
    </cacheHierarchy>
    <cacheHierarchy uniqueName="[Measures].[Sum of view]" caption="Sum of view" measure="1" displayFolder="" measureGroup="Housing"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4705344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418AD5-C5F2-48ED-BD30-8AAA8E4911D9}" name="PivotTable5" cacheId="6" applyNumberFormats="0" applyBorderFormats="0" applyFontFormats="0" applyPatternFormats="0" applyAlignmentFormats="0" applyWidthHeightFormats="1" dataCaption="Values" tag="fb69a7de-c94d-4f6a-bfa9-e7163301d590" updatedVersion="8" minRefreshableVersion="3" useAutoFormatting="1" itemPrintTitles="1" createdVersion="5" indent="0" outline="1" outlineData="1" multipleFieldFilters="0" chartFormat="4">
  <location ref="J1:K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5"/>
    </i>
    <i>
      <x v="9"/>
    </i>
    <i>
      <x v="2"/>
    </i>
    <i>
      <x v="6"/>
    </i>
    <i>
      <x v="8"/>
    </i>
    <i>
      <x v="1"/>
    </i>
    <i>
      <x v="4"/>
    </i>
    <i>
      <x v="3"/>
    </i>
    <i>
      <x v="7"/>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u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A8C26E-BD5C-467F-AD1B-8CCDB60FBD7F}" name="PivotTable10" cacheId="2" applyNumberFormats="0" applyBorderFormats="0" applyFontFormats="0" applyPatternFormats="0" applyAlignmentFormats="0" applyWidthHeightFormats="1" dataCaption="Values" tag="7cfc758d-fa15-4b55-bece-d784a9d10119" updatedVersion="8" minRefreshableVersion="3" useAutoFormatting="1" itemPrintTitles="1" createdVersion="5" indent="0" outline="1" outlineData="1" multipleFieldFilters="0">
  <location ref="P10:Q16"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2"/>
    </i>
    <i>
      <x v="3"/>
    </i>
    <i>
      <x v="1"/>
    </i>
    <i>
      <x/>
    </i>
    <i t="grand">
      <x/>
    </i>
  </rowItems>
  <colItems count="1">
    <i/>
  </colItems>
  <dataFields count="1">
    <dataField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u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7BDF7E-7665-4D45-8DCF-0B4E60A2CCCE}" name="PivotTable3" cacheId="4" applyNumberFormats="0" applyBorderFormats="0" applyFontFormats="0" applyPatternFormats="0" applyAlignmentFormats="0" applyWidthHeightFormats="1" dataCaption="Values" tag="45f2c816-c569-4623-a03b-80cb601acef8" updatedVersion="8" minRefreshableVersion="3" useAutoFormatting="1" itemPrintTitles="1" createdVersion="5" indent="0" outline="1" outlineData="1" multipleFieldFilters="0" chartFormat="9" rowHeaderCaption="Living Area Band">
  <location ref="D1:E11"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7"/>
    </i>
    <i>
      <x v="6"/>
    </i>
    <i>
      <x v="5"/>
    </i>
    <i>
      <x v="4"/>
    </i>
    <i>
      <x v="3"/>
    </i>
    <i>
      <x v="2"/>
    </i>
    <i>
      <x v="1"/>
    </i>
    <i>
      <x v="8"/>
    </i>
    <i>
      <x/>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u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B111CC-4E0D-4EA1-973D-A6708898453A}" name="PivotTable9" cacheId="0" applyNumberFormats="0" applyBorderFormats="0" applyFontFormats="0" applyPatternFormats="0" applyAlignmentFormats="0" applyWidthHeightFormats="1" dataCaption="Values" tag="592c6b34-22a3-479f-8f82-7d3608a266e5" updatedVersion="8" minRefreshableVersion="3" useAutoFormatting="1" itemPrintTitles="1" createdVersion="5" indent="0" outline="1" outlineData="1" multipleFieldFilters="0">
  <location ref="P1:Q7"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v="1"/>
    </i>
    <i>
      <x v="2"/>
    </i>
    <i>
      <x/>
    </i>
    <i t="grand">
      <x/>
    </i>
  </rowItems>
  <colItems count="1">
    <i/>
  </colItems>
  <dataFields count="1">
    <dataField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u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0B63C1-1657-4F2F-BDFD-445FBEA4555B}" name="PivotTable8" cacheId="9" applyNumberFormats="0" applyBorderFormats="0" applyFontFormats="0" applyPatternFormats="0" applyAlignmentFormats="0" applyWidthHeightFormats="1" dataCaption="Values" tag="5fc4502b-e4f4-45c8-aa7f-9fa60e36423a" updatedVersion="8" minRefreshableVersion="3" useAutoFormatting="1" itemPrintTitles="1" createdVersion="5" indent="0" outline="1" outlineData="1" multipleFieldFilters="0">
  <location ref="M14:N1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u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F959CA-D0AB-48A8-9784-9B1493D80291}" name="PivotTable1" cacheId="1" applyNumberFormats="0" applyBorderFormats="0" applyFontFormats="0" applyPatternFormats="0" applyAlignmentFormats="0" applyWidthHeightFormats="1" dataCaption="Values" tag="4518ac03-c861-4343-b7b7-ab8335f7fc23" updatedVersion="8" minRefreshableVersion="3" useAutoFormatting="1" itemPrintTitles="1" createdVersion="5" indent="0" outline="1" outlineData="1" multipleFieldFilters="0" chartFormat="8" rowHeaderCaption="City">
  <location ref="A1:B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2"/>
    </i>
    <i>
      <x v="9"/>
    </i>
    <i>
      <x v="5"/>
    </i>
    <i>
      <x v="1"/>
    </i>
    <i>
      <x/>
    </i>
    <i>
      <x v="8"/>
    </i>
    <i>
      <x v="3"/>
    </i>
    <i>
      <x v="7"/>
    </i>
    <i>
      <x v="6"/>
    </i>
    <i t="grand">
      <x/>
    </i>
  </rowItems>
  <colItems count="1">
    <i/>
  </colItems>
  <dataFields count="1">
    <dataField fld="1" subtotal="count" baseField="0" baseItem="0"/>
  </dataField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u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68DE1E-CA78-44AB-8E8F-185FF704FC86}" name="PivotTable6" cacheId="7" applyNumberFormats="0" applyBorderFormats="0" applyFontFormats="0" applyPatternFormats="0" applyAlignmentFormats="0" applyWidthHeightFormats="1" dataCaption="Values" tag="d6ea1047-b994-4cf3-b610-551718726994" updatedVersion="8" minRefreshableVersion="3" useAutoFormatting="1" itemPrintTitles="1" createdVersion="5" indent="0" outline="1" outlineData="1" multipleFieldFilters="0" chartFormat="4">
  <location ref="M1:N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u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199C54-852E-47E1-BB94-7C9BEAF88D35}" name="PivotTable7" cacheId="8" applyNumberFormats="0" applyBorderFormats="0" applyFontFormats="0" applyPatternFormats="0" applyAlignmentFormats="0" applyWidthHeightFormats="1" dataCaption="Values" tag="ec4e5559-ea50-497e-9bbd-5973eab966b1" updatedVersion="8" minRefreshableVersion="3" useAutoFormatting="1" itemPrintTitles="1" createdVersion="5" indent="0" outline="1" outlineData="1" multipleFieldFilters="0" chartFormat="4">
  <location ref="M8:N1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u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EC697F-8DD5-43F3-BAC3-F367D03B19EC}" name="PivotTable4" cacheId="5" applyNumberFormats="0" applyBorderFormats="0" applyFontFormats="0" applyPatternFormats="0" applyAlignmentFormats="0" applyWidthHeightFormats="1" dataCaption="Values" tag="32879b99-68ca-4edd-b0c0-0d5e8e67cace" updatedVersion="8" minRefreshableVersion="3" useAutoFormatting="1" itemPrintTitles="1" createdVersion="5" indent="0" outline="1" outlineData="1" multipleFieldFilters="0" chartFormat="7" rowHeaderCaption="Bathrooms">
  <location ref="G1:H1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8"/>
    </i>
    <i>
      <x v="7"/>
    </i>
    <i>
      <x v="6"/>
    </i>
    <i>
      <x v="5"/>
    </i>
    <i>
      <x v="4"/>
    </i>
    <i>
      <x v="9"/>
    </i>
    <i>
      <x v="3"/>
    </i>
    <i>
      <x v="2"/>
    </i>
    <i>
      <x v="1"/>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u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6130B8-F919-4F28-BF39-829750E8F4FB}" name="PivotTable11" cacheId="3" applyNumberFormats="0" applyBorderFormats="0" applyFontFormats="0" applyPatternFormats="0" applyAlignmentFormats="0" applyWidthHeightFormats="1" dataCaption="Values" tag="1b70c0c3-4588-4688-ade0-f8414bed0504" updatedVersion="8" minRefreshableVersion="3" useAutoFormatting="1" itemPrintTitles="1" createdVersion="5" indent="0" outline="1" outlineData="1" multipleFieldFilters="0">
  <location ref="J19:N2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u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85494B-47CA-4607-AAB3-8CCA7F3E2239}" name="PivotTable2" cacheId="10" applyNumberFormats="0" applyBorderFormats="0" applyFontFormats="0" applyPatternFormats="0" applyAlignmentFormats="0" applyWidthHeightFormats="1" dataCaption="Values" tag="a8deb55b-f662-4ce5-8cbd-52d247a344a9" updatedVersion="8" minRefreshableVersion="3" useAutoFormatting="1" itemPrintTitles="1" createdVersion="5" indent="0" outline="1" outlineData="1" multipleFieldFilters="0" chartFormat="9" rowHeaderCaption="Property Age Band">
  <location ref="D14:E2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usin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ement_Status" xr10:uid="{52F8F1DA-51A1-4F16-A6EA-94D830BCB707}" sourceName="[Housing].[Basement Status]">
  <pivotTables>
    <pivotTable tabId="1" name="PivotTable9"/>
    <pivotTable tabId="1" name="PivotTable1"/>
    <pivotTable tabId="1" name="PivotTable10"/>
    <pivotTable tabId="1" name="PivotTable11"/>
    <pivotTable tabId="1" name="PivotTable3"/>
    <pivotTable tabId="1" name="PivotTable4"/>
    <pivotTable tabId="1" name="PivotTable5"/>
    <pivotTable tabId="1" name="PivotTable6"/>
    <pivotTable tabId="1" name="PivotTable7"/>
    <pivotTable tabId="1" name="PivotTable8"/>
    <pivotTable tabId="1" name="PivotTable2"/>
  </pivotTables>
  <data>
    <olap pivotCacheId="1470534404">
      <levels count="2">
        <level uniqueName="[Housing].[Basement Status].[(All)]" sourceCaption="(All)" count="0"/>
        <level uniqueName="[Housing].[Basement Status].[Basement Status]" sourceCaption="Basement Status" count="2">
          <ranges>
            <range startItem="0">
              <i n="[Housing].[Basement Status].&amp;[Has Basement]" c="Has Basement"/>
              <i n="[Housing].[Basement Status].&amp;[No Basement]" c="No Basement"/>
            </range>
          </ranges>
        </level>
      </levels>
      <selections count="1">
        <selection n="[Housing].[Basement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ew" xr10:uid="{C2A268BF-F0C1-40EE-89A6-F89F5C619C6B}" sourceName="[Housing].[view]">
  <pivotTables>
    <pivotTable tabId="1" name="PivotTable9"/>
    <pivotTable tabId="1" name="PivotTable1"/>
    <pivotTable tabId="1" name="PivotTable10"/>
    <pivotTable tabId="1" name="PivotTable11"/>
    <pivotTable tabId="1" name="PivotTable3"/>
    <pivotTable tabId="1" name="PivotTable4"/>
    <pivotTable tabId="1" name="PivotTable5"/>
    <pivotTable tabId="1" name="PivotTable6"/>
    <pivotTable tabId="1" name="PivotTable7"/>
    <pivotTable tabId="1" name="PivotTable8"/>
    <pivotTable tabId="1" name="PivotTable2"/>
  </pivotTables>
  <data>
    <olap pivotCacheId="1470534404">
      <levels count="2">
        <level uniqueName="[Housing].[view].[(All)]" sourceCaption="(All)" count="0"/>
        <level uniqueName="[Housing].[view].[view]" sourceCaption="view" count="5">
          <ranges>
            <range startItem="0">
              <i n="[Housing].[view].&amp;[0]" c="0"/>
              <i n="[Housing].[view].&amp;[1]" c="1"/>
              <i n="[Housing].[view].&amp;[2]" c="2"/>
              <i n="[Housing].[view].&amp;[3]" c="3"/>
              <i n="[Housing].[view].&amp;[4]" c="4"/>
            </range>
          </ranges>
        </level>
      </levels>
      <selections count="1">
        <selection n="[Housing].[view].[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B02549AB-FFE5-4B7C-88E8-84045843B412}" sourceName="[Housing].[condition]">
  <pivotTables>
    <pivotTable tabId="1" name="PivotTable9"/>
    <pivotTable tabId="1" name="PivotTable1"/>
    <pivotTable tabId="1" name="PivotTable10"/>
    <pivotTable tabId="1" name="PivotTable11"/>
    <pivotTable tabId="1" name="PivotTable3"/>
    <pivotTable tabId="1" name="PivotTable4"/>
    <pivotTable tabId="1" name="PivotTable5"/>
    <pivotTable tabId="1" name="PivotTable6"/>
    <pivotTable tabId="1" name="PivotTable7"/>
    <pivotTable tabId="1" name="PivotTable8"/>
    <pivotTable tabId="1" name="PivotTable2"/>
  </pivotTables>
  <data>
    <olap pivotCacheId="1470534404">
      <levels count="2">
        <level uniqueName="[Housing].[condition].[(All)]" sourceCaption="(All)" count="0"/>
        <level uniqueName="[Housing].[condition].[condition]" sourceCaption="condition" count="5">
          <ranges>
            <range startItem="0">
              <i n="[Housing].[condition].&amp;[1]" c="1"/>
              <i n="[Housing].[condition].&amp;[2]" c="2"/>
              <i n="[Housing].[condition].&amp;[3]" c="3"/>
              <i n="[Housing].[condition].&amp;[4]" c="4"/>
              <i n="[Housing].[condition].&amp;[5]" c="5"/>
            </range>
          </ranges>
        </level>
      </levels>
      <selections count="1">
        <selection n="[Housing].[condi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sement Status" xr10:uid="{35576337-7FAB-47F7-BFBC-5A8330FEE86D}" cache="Slicer_Basement_Status" caption="Basement Status" level="1" rowHeight="241300"/>
  <slicer name="view" xr10:uid="{13BB7155-F389-4782-A684-FF3A68174844}" cache="Slicer_view" caption="View" level="1" rowHeight="241300"/>
  <slicer name="condition" xr10:uid="{B9B4B1E5-8AF8-40CF-88DA-6DAE777A9778}" cache="Slicer_condition" caption="Condit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C2225-E9A5-485A-9AA2-4CE7C5749D18}">
  <dimension ref="A1:Q22"/>
  <sheetViews>
    <sheetView zoomScale="80" zoomScaleNormal="80" workbookViewId="0">
      <selection activeCell="J1" sqref="J1"/>
    </sheetView>
  </sheetViews>
  <sheetFormatPr defaultRowHeight="14.5" x14ac:dyDescent="0.35"/>
  <cols>
    <col min="1" max="1" width="16.1796875" bestFit="1" customWidth="1"/>
    <col min="2" max="2" width="12.36328125" bestFit="1" customWidth="1"/>
    <col min="4" max="4" width="13.36328125" bestFit="1" customWidth="1"/>
    <col min="5" max="5" width="12.7265625" bestFit="1" customWidth="1"/>
    <col min="7" max="7" width="14" bestFit="1" customWidth="1"/>
    <col min="8" max="8" width="12.36328125" bestFit="1" customWidth="1"/>
    <col min="10" max="10" width="17.54296875" bestFit="1" customWidth="1"/>
    <col min="11" max="11" width="19.81640625" bestFit="1" customWidth="1"/>
    <col min="12" max="12" width="12.36328125" bestFit="1" customWidth="1"/>
    <col min="13" max="13" width="14" bestFit="1" customWidth="1"/>
    <col min="14" max="14" width="12.36328125" bestFit="1" customWidth="1"/>
    <col min="16" max="16" width="14" bestFit="1" customWidth="1"/>
    <col min="17" max="17" width="12.36328125" bestFit="1" customWidth="1"/>
  </cols>
  <sheetData>
    <row r="1" spans="1:17" x14ac:dyDescent="0.35">
      <c r="A1" s="1" t="s">
        <v>44</v>
      </c>
      <c r="B1" t="s">
        <v>12</v>
      </c>
      <c r="D1" s="1" t="s">
        <v>45</v>
      </c>
      <c r="E1" t="s">
        <v>12</v>
      </c>
      <c r="G1" s="1" t="s">
        <v>47</v>
      </c>
      <c r="H1" t="s">
        <v>12</v>
      </c>
      <c r="J1" s="1" t="s">
        <v>0</v>
      </c>
      <c r="K1" t="s">
        <v>22</v>
      </c>
      <c r="M1" s="1" t="s">
        <v>0</v>
      </c>
      <c r="N1" t="s">
        <v>12</v>
      </c>
      <c r="P1" s="1" t="s">
        <v>0</v>
      </c>
      <c r="Q1" t="s">
        <v>12</v>
      </c>
    </row>
    <row r="2" spans="1:17" x14ac:dyDescent="0.35">
      <c r="A2" s="2" t="s">
        <v>6</v>
      </c>
      <c r="B2" s="3">
        <v>2046559.0909090908</v>
      </c>
      <c r="D2" s="2" t="s">
        <v>20</v>
      </c>
      <c r="E2" s="3">
        <v>1429308.8315789474</v>
      </c>
      <c r="G2" s="2">
        <v>0</v>
      </c>
      <c r="H2" s="3">
        <v>1195324</v>
      </c>
      <c r="J2" s="2" t="s">
        <v>1</v>
      </c>
      <c r="K2" s="3">
        <v>500</v>
      </c>
      <c r="M2" s="2" t="s">
        <v>23</v>
      </c>
      <c r="N2" s="3">
        <v>1596783.3333333333</v>
      </c>
      <c r="P2" s="2">
        <v>4</v>
      </c>
      <c r="Q2" s="3">
        <v>1322963</v>
      </c>
    </row>
    <row r="3" spans="1:17" x14ac:dyDescent="0.35">
      <c r="A3" s="2" t="s">
        <v>3</v>
      </c>
      <c r="B3" s="3">
        <v>1615711.111111111</v>
      </c>
      <c r="D3" s="2" t="s">
        <v>19</v>
      </c>
      <c r="E3" s="3">
        <v>953316.02272727271</v>
      </c>
      <c r="G3" s="2">
        <v>8</v>
      </c>
      <c r="H3" s="3">
        <v>1155000</v>
      </c>
      <c r="J3" s="2" t="s">
        <v>6</v>
      </c>
      <c r="K3" s="3">
        <v>492.12909090909091</v>
      </c>
      <c r="M3" s="2" t="s">
        <v>24</v>
      </c>
      <c r="N3" s="3">
        <v>551012.22052643215</v>
      </c>
      <c r="P3" s="2">
        <v>3</v>
      </c>
      <c r="Q3" s="3">
        <v>1006887.5826086956</v>
      </c>
    </row>
    <row r="4" spans="1:17" x14ac:dyDescent="0.35">
      <c r="A4" s="2" t="s">
        <v>10</v>
      </c>
      <c r="B4" s="3">
        <v>1194837.5</v>
      </c>
      <c r="D4" s="2" t="s">
        <v>18</v>
      </c>
      <c r="E4" s="3">
        <v>812112.4040114613</v>
      </c>
      <c r="G4" s="2">
        <v>7</v>
      </c>
      <c r="H4" s="3">
        <v>1049428.5714285714</v>
      </c>
      <c r="J4" s="2" t="s">
        <v>10</v>
      </c>
      <c r="K4" s="3">
        <v>490.38249999999999</v>
      </c>
      <c r="M4" s="2" t="s">
        <v>11</v>
      </c>
      <c r="N4" s="3">
        <v>557905.8995825093</v>
      </c>
      <c r="P4" s="2">
        <v>1</v>
      </c>
      <c r="Q4" s="3">
        <v>867010.9710144928</v>
      </c>
    </row>
    <row r="5" spans="1:17" x14ac:dyDescent="0.35">
      <c r="A5" s="2" t="s">
        <v>7</v>
      </c>
      <c r="B5" s="3">
        <v>1178637.987804878</v>
      </c>
      <c r="D5" s="2" t="s">
        <v>17</v>
      </c>
      <c r="E5" s="3">
        <v>655272.10281923716</v>
      </c>
      <c r="G5" s="2">
        <v>6</v>
      </c>
      <c r="H5" s="3">
        <v>845070.05084745761</v>
      </c>
      <c r="J5" s="2" t="s">
        <v>3</v>
      </c>
      <c r="K5" s="3">
        <v>429.66</v>
      </c>
      <c r="P5" s="2">
        <v>2</v>
      </c>
      <c r="Q5" s="3">
        <v>825033.50248756213</v>
      </c>
    </row>
    <row r="6" spans="1:17" x14ac:dyDescent="0.35">
      <c r="A6" s="2" t="s">
        <v>2</v>
      </c>
      <c r="B6" s="3">
        <v>862255.049822064</v>
      </c>
      <c r="D6" s="2" t="s">
        <v>16</v>
      </c>
      <c r="E6" s="3">
        <v>549016.55543237249</v>
      </c>
      <c r="G6" s="2">
        <v>5</v>
      </c>
      <c r="H6" s="3">
        <v>804365.8402366864</v>
      </c>
      <c r="J6" s="2" t="s">
        <v>7</v>
      </c>
      <c r="K6" s="3">
        <v>362.01256097560974</v>
      </c>
      <c r="P6" s="2">
        <v>0</v>
      </c>
      <c r="Q6" s="3">
        <v>515290.15768949548</v>
      </c>
    </row>
    <row r="7" spans="1:17" x14ac:dyDescent="0.35">
      <c r="A7" s="2" t="s">
        <v>1</v>
      </c>
      <c r="B7" s="3">
        <v>745000</v>
      </c>
      <c r="D7" s="2" t="s">
        <v>15</v>
      </c>
      <c r="E7" s="3">
        <v>432083.16636528028</v>
      </c>
      <c r="G7" s="2">
        <v>4</v>
      </c>
      <c r="H7" s="3">
        <v>643100.36243386241</v>
      </c>
      <c r="J7" s="2" t="s">
        <v>9</v>
      </c>
      <c r="K7" s="3">
        <v>326.41733504164</v>
      </c>
      <c r="P7" s="2" t="s">
        <v>11</v>
      </c>
      <c r="Q7" s="3">
        <v>557905.8995825093</v>
      </c>
    </row>
    <row r="8" spans="1:17" x14ac:dyDescent="0.35">
      <c r="A8" s="2" t="s">
        <v>34</v>
      </c>
      <c r="B8" s="3">
        <v>702985.83040935674</v>
      </c>
      <c r="D8" s="2" t="s">
        <v>14</v>
      </c>
      <c r="E8" s="3">
        <v>387382.58660998935</v>
      </c>
      <c r="G8" s="2">
        <v>9</v>
      </c>
      <c r="H8" s="3">
        <v>599999</v>
      </c>
      <c r="J8" s="2" t="s">
        <v>2</v>
      </c>
      <c r="K8" s="3">
        <v>323.75476868327399</v>
      </c>
      <c r="M8" s="1" t="s">
        <v>0</v>
      </c>
      <c r="N8" t="s">
        <v>12</v>
      </c>
    </row>
    <row r="9" spans="1:17" x14ac:dyDescent="0.35">
      <c r="A9" s="2" t="s">
        <v>4</v>
      </c>
      <c r="B9" s="3">
        <v>692681.81818181823</v>
      </c>
      <c r="D9" s="2" t="s">
        <v>21</v>
      </c>
      <c r="E9" s="3">
        <v>295577.83154121862</v>
      </c>
      <c r="G9" s="2">
        <v>3</v>
      </c>
      <c r="H9" s="3">
        <v>490302.0538271605</v>
      </c>
      <c r="J9" s="2" t="s">
        <v>5</v>
      </c>
      <c r="K9" s="3">
        <v>288.27914438502671</v>
      </c>
      <c r="M9" s="2" t="s">
        <v>25</v>
      </c>
      <c r="N9" s="3">
        <v>571333.25646711013</v>
      </c>
    </row>
    <row r="10" spans="1:17" x14ac:dyDescent="0.35">
      <c r="A10" s="2" t="s">
        <v>35</v>
      </c>
      <c r="B10" s="3">
        <v>667649.54042553192</v>
      </c>
      <c r="D10" s="2" t="s">
        <v>13</v>
      </c>
      <c r="E10" s="3">
        <v>206200</v>
      </c>
      <c r="G10" s="2">
        <v>2</v>
      </c>
      <c r="H10" s="3">
        <v>395112.31372549018</v>
      </c>
      <c r="J10" s="2" t="s">
        <v>36</v>
      </c>
      <c r="K10" s="3">
        <v>279.61</v>
      </c>
      <c r="M10" s="2" t="s">
        <v>26</v>
      </c>
      <c r="N10" s="3">
        <v>538212.44281842816</v>
      </c>
      <c r="P10" s="1" t="s">
        <v>0</v>
      </c>
      <c r="Q10" t="s">
        <v>12</v>
      </c>
    </row>
    <row r="11" spans="1:17" x14ac:dyDescent="0.35">
      <c r="A11" s="2" t="s">
        <v>8</v>
      </c>
      <c r="B11" s="3">
        <v>666046.69696969702</v>
      </c>
      <c r="D11" s="2" t="s">
        <v>11</v>
      </c>
      <c r="E11" s="3">
        <v>557905.8995825093</v>
      </c>
      <c r="G11" s="2">
        <v>1</v>
      </c>
      <c r="H11" s="3">
        <v>281483.78378378379</v>
      </c>
      <c r="J11" s="2" t="s">
        <v>35</v>
      </c>
      <c r="K11" s="3">
        <v>278.73476595744683</v>
      </c>
      <c r="M11" s="2" t="s">
        <v>11</v>
      </c>
      <c r="N11" s="3">
        <v>557905.8995825093</v>
      </c>
      <c r="P11" s="2">
        <v>5</v>
      </c>
      <c r="Q11" s="3">
        <v>652030.5294117647</v>
      </c>
    </row>
    <row r="12" spans="1:17" x14ac:dyDescent="0.35">
      <c r="A12" s="2" t="s">
        <v>11</v>
      </c>
      <c r="B12" s="3">
        <v>821273.44152744627</v>
      </c>
      <c r="G12" s="2" t="s">
        <v>11</v>
      </c>
      <c r="H12" s="3">
        <v>557905.8995825093</v>
      </c>
      <c r="J12" s="2" t="s">
        <v>11</v>
      </c>
      <c r="K12" s="3">
        <v>321.09188448566607</v>
      </c>
      <c r="P12" s="2">
        <v>3</v>
      </c>
      <c r="Q12" s="3">
        <v>554742.40968081378</v>
      </c>
    </row>
    <row r="13" spans="1:17" x14ac:dyDescent="0.35">
      <c r="P13" s="2">
        <v>4</v>
      </c>
      <c r="Q13" s="3">
        <v>539682.07108239096</v>
      </c>
    </row>
    <row r="14" spans="1:17" x14ac:dyDescent="0.35">
      <c r="D14" s="1" t="s">
        <v>46</v>
      </c>
      <c r="E14" t="s">
        <v>12</v>
      </c>
      <c r="M14" s="1" t="s">
        <v>0</v>
      </c>
      <c r="N14" t="s">
        <v>12</v>
      </c>
      <c r="P14" s="2">
        <v>2</v>
      </c>
      <c r="Q14" s="3">
        <v>334837.41935483873</v>
      </c>
    </row>
    <row r="15" spans="1:17" x14ac:dyDescent="0.35">
      <c r="D15" s="2" t="s">
        <v>37</v>
      </c>
      <c r="E15" s="3">
        <v>583480.77424242429</v>
      </c>
      <c r="M15" s="2" t="s">
        <v>27</v>
      </c>
      <c r="N15" s="3">
        <v>635422.60229132569</v>
      </c>
      <c r="P15" s="2">
        <v>1</v>
      </c>
      <c r="Q15" s="3">
        <v>306633.33333333331</v>
      </c>
    </row>
    <row r="16" spans="1:17" x14ac:dyDescent="0.35">
      <c r="D16" s="2" t="s">
        <v>38</v>
      </c>
      <c r="E16" s="3">
        <v>647318.94903339189</v>
      </c>
      <c r="M16" s="2" t="s">
        <v>28</v>
      </c>
      <c r="N16" s="3">
        <v>505629.18285504048</v>
      </c>
      <c r="P16" s="2" t="s">
        <v>11</v>
      </c>
      <c r="Q16" s="3">
        <v>557905.8995825093</v>
      </c>
    </row>
    <row r="17" spans="4:14" x14ac:dyDescent="0.35">
      <c r="D17" s="2" t="s">
        <v>39</v>
      </c>
      <c r="E17" s="3">
        <v>609519.92280071811</v>
      </c>
      <c r="M17" s="2" t="s">
        <v>11</v>
      </c>
      <c r="N17" s="3">
        <v>557905.8995825093</v>
      </c>
    </row>
    <row r="18" spans="4:14" x14ac:dyDescent="0.35">
      <c r="D18" s="2" t="s">
        <v>40</v>
      </c>
      <c r="E18" s="3">
        <v>510530.5827067669</v>
      </c>
    </row>
    <row r="19" spans="4:14" x14ac:dyDescent="0.35">
      <c r="D19" s="2" t="s">
        <v>41</v>
      </c>
      <c r="E19" s="3">
        <v>481156.49655172415</v>
      </c>
      <c r="J19" t="s">
        <v>29</v>
      </c>
      <c r="K19" t="s">
        <v>30</v>
      </c>
      <c r="L19" t="s">
        <v>12</v>
      </c>
      <c r="M19" t="s">
        <v>31</v>
      </c>
      <c r="N19" t="s">
        <v>22</v>
      </c>
    </row>
    <row r="20" spans="4:14" x14ac:dyDescent="0.35">
      <c r="D20" s="2" t="s">
        <v>42</v>
      </c>
      <c r="E20" s="3">
        <v>480326.42126789369</v>
      </c>
      <c r="J20">
        <v>4551</v>
      </c>
      <c r="K20" s="3">
        <v>2539029749</v>
      </c>
      <c r="L20" s="3">
        <v>557905.8995825093</v>
      </c>
      <c r="M20" s="3">
        <v>465000</v>
      </c>
      <c r="N20" s="3">
        <v>268.7388617886179</v>
      </c>
    </row>
    <row r="21" spans="4:14" x14ac:dyDescent="0.35">
      <c r="D21" s="2" t="s">
        <v>43</v>
      </c>
      <c r="E21" s="3">
        <v>557922.37815126055</v>
      </c>
    </row>
    <row r="22" spans="4:14" x14ac:dyDescent="0.35">
      <c r="D22" s="2" t="s">
        <v>11</v>
      </c>
      <c r="E22" s="3">
        <v>557905.8995825093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E56C5-B56D-4F94-A9FC-1CCF67E39C66}">
  <dimension ref="A2:Z6"/>
  <sheetViews>
    <sheetView tabSelected="1" zoomScale="60" zoomScaleNormal="60" workbookViewId="0"/>
  </sheetViews>
  <sheetFormatPr defaultRowHeight="15.5" x14ac:dyDescent="0.35"/>
  <cols>
    <col min="1" max="1" width="8.7265625" style="4"/>
    <col min="2" max="2" width="8.7265625" style="4" customWidth="1"/>
    <col min="3" max="16384" width="8.7265625" style="4"/>
  </cols>
  <sheetData>
    <row r="2" spans="1:26" x14ac:dyDescent="0.35">
      <c r="A2" s="5" t="s">
        <v>32</v>
      </c>
      <c r="B2" s="6"/>
      <c r="C2" s="6"/>
      <c r="D2" s="6"/>
      <c r="E2" s="6"/>
      <c r="F2" s="6"/>
      <c r="G2" s="6"/>
      <c r="H2" s="6"/>
      <c r="I2" s="6"/>
      <c r="J2" s="6"/>
      <c r="K2" s="6"/>
      <c r="L2" s="6"/>
      <c r="M2" s="6"/>
      <c r="N2" s="6"/>
      <c r="O2" s="6"/>
      <c r="P2" s="6"/>
      <c r="Q2" s="6"/>
      <c r="R2" s="6"/>
      <c r="S2" s="6"/>
      <c r="T2" s="6"/>
      <c r="U2" s="6"/>
      <c r="V2" s="6"/>
      <c r="W2" s="6"/>
      <c r="X2" s="6"/>
      <c r="Y2" s="6"/>
      <c r="Z2" s="6"/>
    </row>
    <row r="3" spans="1:26" x14ac:dyDescent="0.35">
      <c r="A3" s="6"/>
      <c r="B3" s="6"/>
      <c r="C3" s="6"/>
      <c r="D3" s="6"/>
      <c r="E3" s="6"/>
      <c r="F3" s="6"/>
      <c r="G3" s="6"/>
      <c r="H3" s="6"/>
      <c r="I3" s="6"/>
      <c r="J3" s="6"/>
      <c r="K3" s="6"/>
      <c r="L3" s="6"/>
      <c r="M3" s="6"/>
      <c r="N3" s="6"/>
      <c r="O3" s="6"/>
      <c r="P3" s="6"/>
      <c r="Q3" s="6"/>
      <c r="R3" s="6"/>
      <c r="S3" s="6"/>
      <c r="T3" s="6"/>
      <c r="U3" s="6"/>
      <c r="V3" s="6"/>
      <c r="W3" s="6"/>
      <c r="X3" s="6"/>
      <c r="Y3" s="6"/>
      <c r="Z3" s="6"/>
    </row>
    <row r="4" spans="1:26" ht="23" x14ac:dyDescent="0.5">
      <c r="A4" s="7" t="s">
        <v>33</v>
      </c>
      <c r="B4" s="8"/>
      <c r="C4" s="8"/>
      <c r="D4" s="8"/>
      <c r="E4" s="8"/>
      <c r="F4" s="8"/>
      <c r="G4" s="8"/>
      <c r="H4" s="8"/>
      <c r="I4" s="8"/>
      <c r="J4" s="8"/>
      <c r="K4" s="8"/>
      <c r="L4" s="8"/>
      <c r="M4" s="8"/>
      <c r="N4" s="8"/>
      <c r="O4" s="8"/>
      <c r="P4" s="8"/>
      <c r="Q4" s="8"/>
      <c r="R4" s="8"/>
      <c r="S4" s="8"/>
      <c r="T4" s="8"/>
      <c r="U4" s="8"/>
      <c r="V4" s="8"/>
      <c r="W4" s="8"/>
      <c r="X4" s="8"/>
      <c r="Y4" s="8"/>
      <c r="Z4" s="8"/>
    </row>
    <row r="5" spans="1:26" x14ac:dyDescent="0.35">
      <c r="A5" s="9"/>
      <c r="B5" s="9"/>
    </row>
    <row r="6" spans="1:26" x14ac:dyDescent="0.35">
      <c r="A6" s="9"/>
      <c r="B6" s="9"/>
    </row>
  </sheetData>
  <mergeCells count="4">
    <mergeCell ref="A2:Z3"/>
    <mergeCell ref="A4:Z4"/>
    <mergeCell ref="A5:B5"/>
    <mergeCell ref="A6:B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3EF4E-D4D3-4C6B-9630-8E584CB84B1D}">
  <dimension ref="B2:B4"/>
  <sheetViews>
    <sheetView workbookViewId="0">
      <selection activeCell="B5" sqref="B5"/>
    </sheetView>
  </sheetViews>
  <sheetFormatPr defaultRowHeight="14.5" x14ac:dyDescent="0.35"/>
  <sheetData>
    <row r="2" spans="2:2" x14ac:dyDescent="0.35">
      <c r="B2" t="str">
        <f>"$"&amp;ROUND(GETPIVOTDATA("[Measures].[Total Property Value]",PivotTable!$J$19)/1000000000,0)&amp;"B"</f>
        <v>$3B</v>
      </c>
    </row>
    <row r="3" spans="2:2" x14ac:dyDescent="0.35">
      <c r="B3" t="str">
        <f>"$"&amp;ROUND(GETPIVOTDATA("[Measures].[Average Price]",PivotTable!$J$19)/100000,0)&amp;"M"</f>
        <v>$6M</v>
      </c>
    </row>
    <row r="4" spans="2:2" x14ac:dyDescent="0.35">
      <c r="B4" t="str">
        <f>"$"&amp;ROUND(GETPIVOTDATA("[Measures].[Median Price]",PivotTable!$J$19)/1000000,0)&amp;"M"</f>
        <v>$0M</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E5913D79-1B53-4AAF-8692-507412E6500D}">
  <ds:schemaRefs/>
</ds:datastoreItem>
</file>

<file path=customXml/itemProps2.xml><?xml version="1.0" encoding="utf-8"?>
<ds:datastoreItem xmlns:ds="http://schemas.openxmlformats.org/officeDocument/2006/customXml" ds:itemID="{CEC42F5E-58B5-46BD-BDD9-8E2413BE186A}">
  <ds:schemaRefs/>
</ds:datastoreItem>
</file>

<file path=customXml/itemProps3.xml><?xml version="1.0" encoding="utf-8"?>
<ds:datastoreItem xmlns:ds="http://schemas.openxmlformats.org/officeDocument/2006/customXml" ds:itemID="{88B523FA-CE36-4BF8-9E97-92ADAB2215DB}">
  <ds:schemaRefs/>
</ds:datastoreItem>
</file>

<file path=customXml/itemProps4.xml><?xml version="1.0" encoding="utf-8"?>
<ds:datastoreItem xmlns:ds="http://schemas.openxmlformats.org/officeDocument/2006/customXml" ds:itemID="{E6EC2A4C-9370-41FA-B74B-A0AE8C238B62}">
  <ds:schemaRefs/>
</ds:datastoreItem>
</file>

<file path=customXml/itemProps5.xml><?xml version="1.0" encoding="utf-8"?>
<ds:datastoreItem xmlns:ds="http://schemas.openxmlformats.org/officeDocument/2006/customXml" ds:itemID="{07FD99DF-F282-4F41-AA3F-62B53291D46A}">
  <ds:schemaRefs/>
</ds:datastoreItem>
</file>

<file path=customXml/itemProps6.xml><?xml version="1.0" encoding="utf-8"?>
<ds:datastoreItem xmlns:ds="http://schemas.openxmlformats.org/officeDocument/2006/customXml" ds:itemID="{F6667A5B-C1E1-40B4-888D-573CEED491C9}">
  <ds:schemaRefs>
    <ds:schemaRef ds:uri="http://schemas.microsoft.com/DataMashup"/>
  </ds:schemaRefs>
</ds:datastoreItem>
</file>

<file path=customXml/itemProps7.xml><?xml version="1.0" encoding="utf-8"?>
<ds:datastoreItem xmlns:ds="http://schemas.openxmlformats.org/officeDocument/2006/customXml" ds:itemID="{C7000B1D-DE99-435C-BDF0-19E695F6964B}">
  <ds:schemaRefs/>
</ds:datastoreItem>
</file>

<file path=customXml/itemProps8.xml><?xml version="1.0" encoding="utf-8"?>
<ds:datastoreItem xmlns:ds="http://schemas.openxmlformats.org/officeDocument/2006/customXml" ds:itemID="{E7A52A24-386F-43B1-BBD4-CD361B4CD185}">
  <ds:schemaRefs/>
</ds:datastoreItem>
</file>

<file path=customXml/itemProps9.xml><?xml version="1.0" encoding="utf-8"?>
<ds:datastoreItem xmlns:ds="http://schemas.openxmlformats.org/officeDocument/2006/customXml" ds:itemID="{C3F146B5-533E-436E-A161-8A5FF701CA7C}">
  <ds:schemaRefs/>
</ds:datastoreItem>
</file>

<file path=customXml/itemProps10.xml><?xml version="1.0" encoding="utf-8"?>
<ds:datastoreItem xmlns:ds="http://schemas.openxmlformats.org/officeDocument/2006/customXml" ds:itemID="{E9D1E7F0-DFBD-4F67-9E8C-784DA7E3A2B2}">
  <ds:schemaRefs/>
</ds:datastoreItem>
</file>

<file path=customXml/itemProps11.xml><?xml version="1.0" encoding="utf-8"?>
<ds:datastoreItem xmlns:ds="http://schemas.openxmlformats.org/officeDocument/2006/customXml" ds:itemID="{C41C823E-8066-43BA-B688-5BBD2011BAAB}">
  <ds:schemaRefs/>
</ds:datastoreItem>
</file>

<file path=customXml/itemProps12.xml><?xml version="1.0" encoding="utf-8"?>
<ds:datastoreItem xmlns:ds="http://schemas.openxmlformats.org/officeDocument/2006/customXml" ds:itemID="{16C5CDBE-0C12-4AC8-946B-709C70B0E29F}">
  <ds:schemaRefs/>
</ds:datastoreItem>
</file>

<file path=customXml/itemProps13.xml><?xml version="1.0" encoding="utf-8"?>
<ds:datastoreItem xmlns:ds="http://schemas.openxmlformats.org/officeDocument/2006/customXml" ds:itemID="{CDF8C5A9-F7BD-40D8-A252-81E43F2E4B9A}">
  <ds:schemaRefs/>
</ds:datastoreItem>
</file>

<file path=customXml/itemProps14.xml><?xml version="1.0" encoding="utf-8"?>
<ds:datastoreItem xmlns:ds="http://schemas.openxmlformats.org/officeDocument/2006/customXml" ds:itemID="{77C61655-BE30-43D0-8839-B73CBE84F70A}">
  <ds:schemaRefs/>
</ds:datastoreItem>
</file>

<file path=customXml/itemProps15.xml><?xml version="1.0" encoding="utf-8"?>
<ds:datastoreItem xmlns:ds="http://schemas.openxmlformats.org/officeDocument/2006/customXml" ds:itemID="{52CECE5A-5730-4241-A2F8-BBD2954BCC65}">
  <ds:schemaRefs/>
</ds:datastoreItem>
</file>

<file path=customXml/itemProps16.xml><?xml version="1.0" encoding="utf-8"?>
<ds:datastoreItem xmlns:ds="http://schemas.openxmlformats.org/officeDocument/2006/customXml" ds:itemID="{F929DFCE-55ED-458E-BB3A-33F2A7353A1D}">
  <ds:schemaRefs/>
</ds:datastoreItem>
</file>

<file path=customXml/itemProps17.xml><?xml version="1.0" encoding="utf-8"?>
<ds:datastoreItem xmlns:ds="http://schemas.openxmlformats.org/officeDocument/2006/customXml" ds:itemID="{5B7BDF6D-007A-4F43-A735-87082A6BD0EA}">
  <ds:schemaRefs/>
</ds:datastoreItem>
</file>

<file path=customXml/itemProps18.xml><?xml version="1.0" encoding="utf-8"?>
<ds:datastoreItem xmlns:ds="http://schemas.openxmlformats.org/officeDocument/2006/customXml" ds:itemID="{37E37E3B-2D7F-41B7-AD6E-E8B04F50B641}">
  <ds:schemaRefs/>
</ds:datastoreItem>
</file>

<file path=customXml/itemProps19.xml><?xml version="1.0" encoding="utf-8"?>
<ds:datastoreItem xmlns:ds="http://schemas.openxmlformats.org/officeDocument/2006/customXml" ds:itemID="{4425A2A0-2017-458B-8A0C-89D935A8924F}">
  <ds:schemaRefs/>
</ds:datastoreItem>
</file>

<file path=customXml/itemProps20.xml><?xml version="1.0" encoding="utf-8"?>
<ds:datastoreItem xmlns:ds="http://schemas.openxmlformats.org/officeDocument/2006/customXml" ds:itemID="{5E732B54-0DDB-4652-931F-19025340A636}">
  <ds:schemaRefs/>
</ds:datastoreItem>
</file>

<file path=customXml/itemProps21.xml><?xml version="1.0" encoding="utf-8"?>
<ds:datastoreItem xmlns:ds="http://schemas.openxmlformats.org/officeDocument/2006/customXml" ds:itemID="{5D1072A9-F1A2-4D68-B618-37D06EEBFDE4}">
  <ds:schemaRefs/>
</ds:datastoreItem>
</file>

<file path=customXml/itemProps22.xml><?xml version="1.0" encoding="utf-8"?>
<ds:datastoreItem xmlns:ds="http://schemas.openxmlformats.org/officeDocument/2006/customXml" ds:itemID="{0F78CDF9-4FE7-40D3-B1EF-763992197D6E}">
  <ds:schemaRefs/>
</ds:datastoreItem>
</file>

<file path=customXml/itemProps23.xml><?xml version="1.0" encoding="utf-8"?>
<ds:datastoreItem xmlns:ds="http://schemas.openxmlformats.org/officeDocument/2006/customXml" ds:itemID="{0FCB0D09-CD77-4A6F-A7B1-8DC399D216EB}">
  <ds:schemaRefs/>
</ds:datastoreItem>
</file>

<file path=customXml/itemProps24.xml><?xml version="1.0" encoding="utf-8"?>
<ds:datastoreItem xmlns:ds="http://schemas.openxmlformats.org/officeDocument/2006/customXml" ds:itemID="{42D699DF-0F2F-48A4-A57A-170BAED19F27}">
  <ds:schemaRefs/>
</ds:datastoreItem>
</file>

<file path=customXml/itemProps25.xml><?xml version="1.0" encoding="utf-8"?>
<ds:datastoreItem xmlns:ds="http://schemas.openxmlformats.org/officeDocument/2006/customXml" ds:itemID="{9BDBDDA6-2EFD-4007-8A00-C8B5CDFB66FE}">
  <ds:schemaRefs/>
</ds:datastoreItem>
</file>

<file path=customXml/itemProps26.xml><?xml version="1.0" encoding="utf-8"?>
<ds:datastoreItem xmlns:ds="http://schemas.openxmlformats.org/officeDocument/2006/customXml" ds:itemID="{DB2A146E-CD2C-4B65-A012-440CE6B00E17}">
  <ds:schemaRefs/>
</ds:datastoreItem>
</file>

<file path=customXml/itemProps27.xml><?xml version="1.0" encoding="utf-8"?>
<ds:datastoreItem xmlns:ds="http://schemas.openxmlformats.org/officeDocument/2006/customXml" ds:itemID="{5CE6DF14-048B-4488-80B2-739AE634A365}">
  <ds:schemaRefs/>
</ds:datastoreItem>
</file>

<file path=customXml/itemProps28.xml><?xml version="1.0" encoding="utf-8"?>
<ds:datastoreItem xmlns:ds="http://schemas.openxmlformats.org/officeDocument/2006/customXml" ds:itemID="{90E34317-1DF6-465D-88E6-6A4934E367FE}">
  <ds:schemaRefs/>
</ds:datastoreItem>
</file>

<file path=customXml/itemProps29.xml><?xml version="1.0" encoding="utf-8"?>
<ds:datastoreItem xmlns:ds="http://schemas.openxmlformats.org/officeDocument/2006/customXml" ds:itemID="{4CD2AAFD-FB51-43E8-AFC1-295B91102E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opeyemi oluwayemisi</dc:creator>
  <cp:lastModifiedBy>opeyemi oluwayemisi</cp:lastModifiedBy>
  <dcterms:created xsi:type="dcterms:W3CDTF">2026-08-27T21:04:06Z</dcterms:created>
  <dcterms:modified xsi:type="dcterms:W3CDTF">2026-09-19T13:18:39Z</dcterms:modified>
</cp:coreProperties>
</file>